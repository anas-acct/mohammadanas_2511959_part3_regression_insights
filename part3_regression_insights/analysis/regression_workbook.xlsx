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asa\Downloads\part3\"/>
    </mc:Choice>
  </mc:AlternateContent>
  <xr:revisionPtr revIDLastSave="0" documentId="13_ncr:1_{0C1F9972-FA35-4ED0-8A3F-65503F382E13}" xr6:coauthVersionLast="47" xr6:coauthVersionMax="47" xr10:uidLastSave="{00000000-0000-0000-0000-000000000000}"/>
  <bookViews>
    <workbookView xWindow="-108" yWindow="-108" windowWidth="23256" windowHeight="12456" tabRatio="728" xr2:uid="{00000000-000D-0000-FFFF-FFFF00000000}"/>
  </bookViews>
  <sheets>
    <sheet name="Original dataset" sheetId="1" r:id="rId1"/>
    <sheet name="Cleaned data sheet " sheetId="4" r:id="rId2"/>
    <sheet name="Dummy variable creation" sheetId="5" r:id="rId3"/>
    <sheet name="Simple regression outputs" sheetId="6" r:id="rId4"/>
    <sheet name="Multiple regression outputs" sheetId="7" r:id="rId5"/>
    <sheet name="Prediction and residual calcula" sheetId="8" r:id="rId6"/>
    <sheet name="Model comparison sheet" sheetId="9" r:id="rId7"/>
    <sheet name="data_dictionary" sheetId="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8" l="1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2" i="8"/>
  <c r="O10" i="5" l="1"/>
  <c r="P10" i="5"/>
  <c r="O11" i="5"/>
  <c r="P11" i="5"/>
  <c r="O12" i="5"/>
  <c r="P12" i="5"/>
  <c r="O13" i="5"/>
  <c r="P13" i="5"/>
  <c r="O14" i="5"/>
  <c r="P14" i="5"/>
  <c r="O15" i="5"/>
  <c r="P15" i="5"/>
  <c r="O16" i="5"/>
  <c r="P16" i="5"/>
  <c r="O17" i="5"/>
  <c r="P17" i="5"/>
  <c r="O18" i="5"/>
  <c r="P18" i="5"/>
  <c r="O19" i="5"/>
  <c r="P19" i="5"/>
  <c r="O20" i="5"/>
  <c r="P20" i="5"/>
  <c r="O21" i="5"/>
  <c r="P21" i="5"/>
  <c r="O22" i="5"/>
  <c r="P22" i="5"/>
  <c r="O23" i="5"/>
  <c r="P23" i="5"/>
  <c r="O24" i="5"/>
  <c r="P24" i="5"/>
  <c r="O25" i="5"/>
  <c r="P25" i="5"/>
  <c r="O26" i="5"/>
  <c r="P26" i="5"/>
  <c r="O27" i="5"/>
  <c r="P27" i="5"/>
  <c r="O28" i="5"/>
  <c r="P28" i="5"/>
  <c r="O29" i="5"/>
  <c r="P29" i="5"/>
  <c r="O30" i="5"/>
  <c r="P30" i="5"/>
  <c r="O31" i="5"/>
  <c r="P31" i="5"/>
  <c r="O32" i="5"/>
  <c r="P32" i="5"/>
  <c r="O33" i="5"/>
  <c r="P33" i="5"/>
  <c r="O34" i="5"/>
  <c r="P34" i="5"/>
  <c r="O35" i="5"/>
  <c r="P35" i="5"/>
  <c r="O36" i="5"/>
  <c r="P36" i="5"/>
  <c r="O37" i="5"/>
  <c r="P37" i="5"/>
  <c r="O38" i="5"/>
  <c r="P38" i="5"/>
  <c r="O39" i="5"/>
  <c r="P39" i="5"/>
  <c r="O40" i="5"/>
  <c r="P40" i="5"/>
  <c r="O41" i="5"/>
  <c r="P41" i="5"/>
  <c r="O42" i="5"/>
  <c r="P42" i="5"/>
  <c r="O43" i="5"/>
  <c r="P43" i="5"/>
  <c r="O44" i="5"/>
  <c r="P44" i="5"/>
  <c r="O45" i="5"/>
  <c r="P45" i="5"/>
  <c r="O46" i="5"/>
  <c r="P46" i="5"/>
  <c r="O47" i="5"/>
  <c r="P47" i="5"/>
  <c r="O48" i="5"/>
  <c r="P48" i="5"/>
  <c r="O49" i="5"/>
  <c r="P49" i="5"/>
  <c r="O50" i="5"/>
  <c r="P50" i="5"/>
  <c r="O51" i="5"/>
  <c r="P51" i="5"/>
  <c r="O52" i="5"/>
  <c r="P52" i="5"/>
  <c r="O53" i="5"/>
  <c r="P53" i="5"/>
  <c r="O54" i="5"/>
  <c r="P54" i="5"/>
  <c r="O55" i="5"/>
  <c r="P55" i="5"/>
  <c r="O56" i="5"/>
  <c r="P56" i="5"/>
  <c r="O57" i="5"/>
  <c r="P57" i="5"/>
  <c r="O58" i="5"/>
  <c r="P58" i="5"/>
  <c r="O59" i="5"/>
  <c r="P59" i="5"/>
  <c r="O60" i="5"/>
  <c r="P60" i="5"/>
  <c r="O61" i="5"/>
  <c r="P61" i="5"/>
  <c r="O62" i="5"/>
  <c r="P62" i="5"/>
  <c r="O63" i="5"/>
  <c r="P63" i="5"/>
  <c r="O64" i="5"/>
  <c r="P64" i="5"/>
  <c r="O65" i="5"/>
  <c r="P65" i="5"/>
  <c r="O66" i="5"/>
  <c r="P66" i="5"/>
  <c r="O67" i="5"/>
  <c r="P67" i="5"/>
  <c r="O68" i="5"/>
  <c r="P68" i="5"/>
  <c r="O69" i="5"/>
  <c r="P69" i="5"/>
  <c r="O70" i="5"/>
  <c r="P70" i="5"/>
  <c r="O71" i="5"/>
  <c r="P71" i="5"/>
  <c r="O72" i="5"/>
  <c r="P72" i="5"/>
  <c r="O73" i="5"/>
  <c r="P73" i="5"/>
  <c r="O74" i="5"/>
  <c r="P74" i="5"/>
  <c r="O75" i="5"/>
  <c r="P75" i="5"/>
  <c r="O76" i="5"/>
  <c r="P76" i="5"/>
  <c r="O77" i="5"/>
  <c r="P77" i="5"/>
  <c r="O78" i="5"/>
  <c r="P78" i="5"/>
  <c r="O79" i="5"/>
  <c r="P79" i="5"/>
  <c r="O80" i="5"/>
  <c r="P80" i="5"/>
  <c r="O81" i="5"/>
  <c r="P81" i="5"/>
  <c r="O82" i="5"/>
  <c r="P82" i="5"/>
  <c r="O83" i="5"/>
  <c r="P83" i="5"/>
  <c r="O84" i="5"/>
  <c r="P84" i="5"/>
  <c r="O85" i="5"/>
  <c r="P85" i="5"/>
  <c r="O86" i="5"/>
  <c r="P86" i="5"/>
  <c r="O87" i="5"/>
  <c r="P87" i="5"/>
  <c r="O88" i="5"/>
  <c r="P88" i="5"/>
  <c r="O89" i="5"/>
  <c r="P89" i="5"/>
  <c r="O90" i="5"/>
  <c r="P90" i="5"/>
  <c r="O91" i="5"/>
  <c r="P91" i="5"/>
  <c r="O92" i="5"/>
  <c r="P92" i="5"/>
  <c r="O93" i="5"/>
  <c r="P93" i="5"/>
  <c r="O94" i="5"/>
  <c r="P94" i="5"/>
  <c r="O95" i="5"/>
  <c r="P95" i="5"/>
  <c r="O96" i="5"/>
  <c r="P96" i="5"/>
  <c r="O97" i="5"/>
  <c r="P97" i="5"/>
  <c r="O98" i="5"/>
  <c r="P98" i="5"/>
  <c r="O99" i="5"/>
  <c r="P99" i="5"/>
  <c r="O100" i="5"/>
  <c r="P100" i="5"/>
  <c r="O101" i="5"/>
  <c r="P101" i="5"/>
  <c r="O102" i="5"/>
  <c r="P102" i="5"/>
  <c r="O103" i="5"/>
  <c r="P103" i="5"/>
  <c r="O104" i="5"/>
  <c r="P104" i="5"/>
  <c r="O105" i="5"/>
  <c r="P105" i="5"/>
  <c r="O106" i="5"/>
  <c r="P106" i="5"/>
  <c r="O107" i="5"/>
  <c r="P107" i="5"/>
  <c r="O108" i="5"/>
  <c r="P108" i="5"/>
  <c r="O109" i="5"/>
  <c r="P109" i="5"/>
  <c r="O110" i="5"/>
  <c r="P110" i="5"/>
  <c r="O111" i="5"/>
  <c r="P111" i="5"/>
  <c r="O112" i="5"/>
  <c r="P112" i="5"/>
  <c r="O113" i="5"/>
  <c r="P113" i="5"/>
  <c r="O114" i="5"/>
  <c r="P114" i="5"/>
  <c r="O115" i="5"/>
  <c r="P115" i="5"/>
  <c r="O116" i="5"/>
  <c r="P116" i="5"/>
  <c r="O117" i="5"/>
  <c r="P117" i="5"/>
  <c r="O118" i="5"/>
  <c r="P118" i="5"/>
  <c r="O119" i="5"/>
  <c r="P119" i="5"/>
  <c r="O120" i="5"/>
  <c r="P120" i="5"/>
  <c r="O121" i="5"/>
  <c r="P121" i="5"/>
  <c r="O122" i="5"/>
  <c r="P122" i="5"/>
  <c r="O123" i="5"/>
  <c r="P123" i="5"/>
  <c r="O124" i="5"/>
  <c r="P124" i="5"/>
  <c r="O125" i="5"/>
  <c r="P125" i="5"/>
  <c r="O126" i="5"/>
  <c r="P126" i="5"/>
  <c r="O127" i="5"/>
  <c r="P127" i="5"/>
  <c r="O128" i="5"/>
  <c r="P128" i="5"/>
  <c r="O129" i="5"/>
  <c r="P129" i="5"/>
  <c r="O130" i="5"/>
  <c r="P130" i="5"/>
  <c r="O131" i="5"/>
  <c r="P131" i="5"/>
  <c r="O132" i="5"/>
  <c r="P132" i="5"/>
  <c r="O133" i="5"/>
  <c r="P133" i="5"/>
  <c r="O134" i="5"/>
  <c r="P134" i="5"/>
  <c r="O135" i="5"/>
  <c r="P135" i="5"/>
  <c r="O136" i="5"/>
  <c r="P136" i="5"/>
  <c r="O137" i="5"/>
  <c r="P137" i="5"/>
  <c r="O138" i="5"/>
  <c r="P138" i="5"/>
  <c r="O139" i="5"/>
  <c r="P139" i="5"/>
  <c r="O140" i="5"/>
  <c r="P140" i="5"/>
  <c r="O141" i="5"/>
  <c r="P141" i="5"/>
  <c r="O142" i="5"/>
  <c r="P142" i="5"/>
  <c r="O143" i="5"/>
  <c r="P143" i="5"/>
  <c r="O144" i="5"/>
  <c r="P144" i="5"/>
  <c r="O145" i="5"/>
  <c r="P145" i="5"/>
  <c r="O146" i="5"/>
  <c r="P146" i="5"/>
  <c r="O147" i="5"/>
  <c r="P147" i="5"/>
  <c r="O148" i="5"/>
  <c r="P148" i="5"/>
  <c r="O149" i="5"/>
  <c r="P149" i="5"/>
  <c r="O150" i="5"/>
  <c r="P150" i="5"/>
  <c r="O151" i="5"/>
  <c r="P151" i="5"/>
  <c r="O152" i="5"/>
  <c r="P152" i="5"/>
  <c r="O153" i="5"/>
  <c r="P153" i="5"/>
  <c r="O154" i="5"/>
  <c r="P154" i="5"/>
  <c r="O155" i="5"/>
  <c r="P155" i="5"/>
  <c r="O156" i="5"/>
  <c r="P156" i="5"/>
  <c r="O157" i="5"/>
  <c r="P157" i="5"/>
  <c r="O158" i="5"/>
  <c r="P158" i="5"/>
  <c r="O159" i="5"/>
  <c r="P159" i="5"/>
  <c r="O160" i="5"/>
  <c r="P160" i="5"/>
  <c r="O161" i="5"/>
  <c r="P161" i="5"/>
  <c r="O162" i="5"/>
  <c r="P162" i="5"/>
  <c r="O163" i="5"/>
  <c r="P163" i="5"/>
  <c r="O164" i="5"/>
  <c r="P164" i="5"/>
  <c r="O165" i="5"/>
  <c r="P165" i="5"/>
  <c r="O166" i="5"/>
  <c r="P166" i="5"/>
  <c r="O167" i="5"/>
  <c r="P167" i="5"/>
  <c r="O168" i="5"/>
  <c r="P168" i="5"/>
  <c r="O169" i="5"/>
  <c r="P169" i="5"/>
  <c r="O170" i="5"/>
  <c r="P170" i="5"/>
  <c r="O171" i="5"/>
  <c r="P171" i="5"/>
  <c r="O172" i="5"/>
  <c r="P172" i="5"/>
  <c r="O173" i="5"/>
  <c r="P173" i="5"/>
  <c r="O174" i="5"/>
  <c r="P174" i="5"/>
  <c r="O175" i="5"/>
  <c r="P175" i="5"/>
  <c r="O176" i="5"/>
  <c r="P176" i="5"/>
  <c r="O177" i="5"/>
  <c r="P177" i="5"/>
  <c r="O178" i="5"/>
  <c r="P178" i="5"/>
  <c r="O179" i="5"/>
  <c r="P179" i="5"/>
  <c r="O180" i="5"/>
  <c r="P180" i="5"/>
  <c r="O181" i="5"/>
  <c r="P181" i="5"/>
  <c r="O182" i="5"/>
  <c r="P182" i="5"/>
  <c r="O183" i="5"/>
  <c r="P183" i="5"/>
  <c r="O184" i="5"/>
  <c r="P184" i="5"/>
  <c r="O185" i="5"/>
  <c r="P185" i="5"/>
  <c r="O186" i="5"/>
  <c r="P186" i="5"/>
  <c r="O187" i="5"/>
  <c r="P187" i="5"/>
  <c r="O188" i="5"/>
  <c r="P188" i="5"/>
  <c r="O189" i="5"/>
  <c r="P189" i="5"/>
  <c r="O190" i="5"/>
  <c r="P190" i="5"/>
  <c r="O191" i="5"/>
  <c r="P191" i="5"/>
  <c r="O192" i="5"/>
  <c r="P192" i="5"/>
  <c r="O193" i="5"/>
  <c r="P193" i="5"/>
  <c r="O194" i="5"/>
  <c r="P194" i="5"/>
  <c r="O195" i="5"/>
  <c r="P195" i="5"/>
  <c r="O196" i="5"/>
  <c r="P196" i="5"/>
  <c r="O197" i="5"/>
  <c r="P197" i="5"/>
  <c r="O198" i="5"/>
  <c r="P198" i="5"/>
  <c r="O199" i="5"/>
  <c r="P199" i="5"/>
  <c r="O200" i="5"/>
  <c r="P200" i="5"/>
  <c r="O201" i="5"/>
  <c r="P201" i="5"/>
  <c r="O202" i="5"/>
  <c r="P202" i="5"/>
  <c r="O203" i="5"/>
  <c r="P203" i="5"/>
  <c r="O204" i="5"/>
  <c r="P204" i="5"/>
  <c r="O205" i="5"/>
  <c r="P205" i="5"/>
  <c r="O206" i="5"/>
  <c r="P206" i="5"/>
  <c r="O207" i="5"/>
  <c r="P207" i="5"/>
  <c r="O208" i="5"/>
  <c r="P208" i="5"/>
  <c r="O209" i="5"/>
  <c r="P209" i="5"/>
  <c r="O210" i="5"/>
  <c r="P210" i="5"/>
  <c r="O211" i="5"/>
  <c r="P211" i="5"/>
  <c r="O212" i="5"/>
  <c r="P212" i="5"/>
  <c r="O213" i="5"/>
  <c r="P213" i="5"/>
  <c r="O214" i="5"/>
  <c r="P214" i="5"/>
  <c r="O215" i="5"/>
  <c r="P215" i="5"/>
  <c r="O216" i="5"/>
  <c r="P216" i="5"/>
  <c r="O217" i="5"/>
  <c r="P217" i="5"/>
  <c r="O218" i="5"/>
  <c r="P218" i="5"/>
  <c r="O219" i="5"/>
  <c r="P219" i="5"/>
  <c r="O220" i="5"/>
  <c r="P220" i="5"/>
  <c r="O221" i="5"/>
  <c r="P221" i="5"/>
  <c r="O222" i="5"/>
  <c r="P222" i="5"/>
  <c r="O223" i="5"/>
  <c r="P223" i="5"/>
  <c r="O224" i="5"/>
  <c r="P224" i="5"/>
  <c r="O225" i="5"/>
  <c r="P225" i="5"/>
  <c r="O226" i="5"/>
  <c r="P226" i="5"/>
  <c r="O227" i="5"/>
  <c r="P227" i="5"/>
  <c r="O228" i="5"/>
  <c r="P228" i="5"/>
  <c r="O229" i="5"/>
  <c r="P229" i="5"/>
  <c r="O230" i="5"/>
  <c r="P230" i="5"/>
  <c r="O231" i="5"/>
  <c r="P231" i="5"/>
  <c r="O232" i="5"/>
  <c r="P232" i="5"/>
  <c r="O233" i="5"/>
  <c r="P233" i="5"/>
  <c r="O234" i="5"/>
  <c r="P234" i="5"/>
  <c r="O235" i="5"/>
  <c r="P235" i="5"/>
  <c r="O236" i="5"/>
  <c r="P236" i="5"/>
  <c r="O237" i="5"/>
  <c r="P237" i="5"/>
  <c r="O238" i="5"/>
  <c r="P238" i="5"/>
  <c r="O239" i="5"/>
  <c r="P239" i="5"/>
  <c r="O240" i="5"/>
  <c r="P240" i="5"/>
  <c r="O241" i="5"/>
  <c r="P241" i="5"/>
  <c r="O242" i="5"/>
  <c r="P242" i="5"/>
  <c r="O243" i="5"/>
  <c r="P243" i="5"/>
  <c r="O244" i="5"/>
  <c r="P244" i="5"/>
  <c r="O245" i="5"/>
  <c r="P245" i="5"/>
  <c r="O246" i="5"/>
  <c r="P246" i="5"/>
  <c r="O247" i="5"/>
  <c r="P247" i="5"/>
  <c r="O248" i="5"/>
  <c r="P248" i="5"/>
  <c r="O249" i="5"/>
  <c r="P249" i="5"/>
  <c r="O250" i="5"/>
  <c r="P250" i="5"/>
  <c r="O251" i="5"/>
  <c r="P251" i="5"/>
  <c r="O252" i="5"/>
  <c r="P252" i="5"/>
  <c r="O253" i="5"/>
  <c r="P253" i="5"/>
  <c r="O254" i="5"/>
  <c r="P254" i="5"/>
  <c r="O255" i="5"/>
  <c r="P255" i="5"/>
  <c r="O256" i="5"/>
  <c r="P256" i="5"/>
  <c r="O257" i="5"/>
  <c r="P257" i="5"/>
  <c r="O258" i="5"/>
  <c r="P258" i="5"/>
  <c r="O259" i="5"/>
  <c r="P259" i="5"/>
  <c r="O260" i="5"/>
  <c r="P260" i="5"/>
  <c r="O261" i="5"/>
  <c r="P261" i="5"/>
  <c r="O262" i="5"/>
  <c r="P262" i="5"/>
  <c r="O263" i="5"/>
  <c r="P263" i="5"/>
  <c r="O264" i="5"/>
  <c r="P264" i="5"/>
  <c r="O265" i="5"/>
  <c r="P265" i="5"/>
  <c r="O266" i="5"/>
  <c r="P266" i="5"/>
  <c r="O267" i="5"/>
  <c r="P267" i="5"/>
  <c r="O268" i="5"/>
  <c r="P268" i="5"/>
  <c r="O269" i="5"/>
  <c r="P269" i="5"/>
  <c r="O270" i="5"/>
  <c r="P270" i="5"/>
  <c r="O271" i="5"/>
  <c r="P271" i="5"/>
  <c r="O272" i="5"/>
  <c r="P272" i="5"/>
  <c r="O273" i="5"/>
  <c r="P273" i="5"/>
  <c r="O274" i="5"/>
  <c r="P274" i="5"/>
  <c r="O275" i="5"/>
  <c r="P275" i="5"/>
  <c r="O276" i="5"/>
  <c r="P276" i="5"/>
  <c r="O277" i="5"/>
  <c r="P277" i="5"/>
  <c r="O278" i="5"/>
  <c r="P278" i="5"/>
  <c r="O279" i="5"/>
  <c r="P279" i="5"/>
  <c r="O280" i="5"/>
  <c r="P280" i="5"/>
  <c r="O281" i="5"/>
  <c r="P281" i="5"/>
  <c r="O282" i="5"/>
  <c r="P282" i="5"/>
  <c r="O283" i="5"/>
  <c r="P283" i="5"/>
  <c r="O284" i="5"/>
  <c r="P284" i="5"/>
  <c r="O285" i="5"/>
  <c r="P285" i="5"/>
  <c r="O286" i="5"/>
  <c r="P286" i="5"/>
  <c r="O287" i="5"/>
  <c r="P287" i="5"/>
  <c r="O288" i="5"/>
  <c r="P288" i="5"/>
  <c r="O289" i="5"/>
  <c r="P289" i="5"/>
  <c r="O290" i="5"/>
  <c r="P290" i="5"/>
  <c r="O291" i="5"/>
  <c r="P291" i="5"/>
  <c r="O292" i="5"/>
  <c r="P292" i="5"/>
  <c r="O293" i="5"/>
  <c r="P293" i="5"/>
  <c r="O294" i="5"/>
  <c r="P294" i="5"/>
  <c r="O295" i="5"/>
  <c r="P295" i="5"/>
  <c r="O296" i="5"/>
  <c r="P296" i="5"/>
  <c r="O297" i="5"/>
  <c r="P297" i="5"/>
  <c r="O298" i="5"/>
  <c r="P298" i="5"/>
  <c r="O299" i="5"/>
  <c r="P299" i="5"/>
  <c r="O300" i="5"/>
  <c r="P300" i="5"/>
  <c r="O301" i="5"/>
  <c r="P301" i="5"/>
  <c r="O302" i="5"/>
  <c r="P302" i="5"/>
  <c r="O303" i="5"/>
  <c r="P303" i="5"/>
  <c r="O304" i="5"/>
  <c r="P304" i="5"/>
  <c r="O305" i="5"/>
  <c r="P305" i="5"/>
  <c r="O306" i="5"/>
  <c r="P306" i="5"/>
  <c r="O307" i="5"/>
  <c r="P307" i="5"/>
  <c r="O308" i="5"/>
  <c r="P308" i="5"/>
  <c r="O309" i="5"/>
  <c r="P309" i="5"/>
  <c r="O310" i="5"/>
  <c r="P310" i="5"/>
  <c r="O311" i="5"/>
  <c r="P311" i="5"/>
  <c r="O312" i="5"/>
  <c r="P312" i="5"/>
  <c r="O313" i="5"/>
  <c r="P313" i="5"/>
  <c r="O314" i="5"/>
  <c r="P314" i="5"/>
  <c r="O315" i="5"/>
  <c r="P315" i="5"/>
  <c r="O316" i="5"/>
  <c r="P316" i="5"/>
  <c r="O317" i="5"/>
  <c r="P317" i="5"/>
  <c r="O318" i="5"/>
  <c r="P318" i="5"/>
  <c r="O319" i="5"/>
  <c r="P319" i="5"/>
  <c r="O320" i="5"/>
  <c r="P320" i="5"/>
  <c r="O321" i="5"/>
  <c r="P321" i="5"/>
  <c r="O3" i="5"/>
  <c r="P3" i="5"/>
  <c r="O4" i="5"/>
  <c r="P4" i="5"/>
  <c r="O5" i="5"/>
  <c r="P5" i="5"/>
  <c r="O6" i="5"/>
  <c r="P6" i="5"/>
  <c r="O7" i="5"/>
  <c r="P7" i="5"/>
  <c r="O8" i="5"/>
  <c r="P8" i="5"/>
  <c r="O9" i="5"/>
  <c r="P9" i="5"/>
  <c r="P2" i="5"/>
  <c r="O2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2" i="5"/>
</calcChain>
</file>

<file path=xl/sharedStrings.xml><?xml version="1.0" encoding="utf-8"?>
<sst xmlns="http://schemas.openxmlformats.org/spreadsheetml/2006/main" count="2749" uniqueCount="161">
  <si>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</si>
  <si>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</si>
  <si>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</si>
  <si>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</si>
  <si>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</si>
  <si>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</si>
  <si>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</si>
  <si>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</si>
  <si>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</si>
  <si>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</si>
  <si>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</si>
  <si>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</si>
  <si>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</si>
  <si>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</si>
  <si>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</si>
  <si>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</si>
  <si>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</si>
  <si>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</si>
  <si>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</si>
  <si>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</si>
  <si>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</si>
  <si>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</si>
  <si>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</si>
  <si>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</si>
  <si>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</si>
  <si>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</si>
  <si>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</si>
  <si>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</si>
  <si>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</si>
  <si>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</si>
  <si>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</si>
  <si>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</si>
  <si>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</si>
  <si>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</si>
  <si>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</si>
  <si>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</si>
  <si>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</si>
  <si>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</si>
  <si>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</si>
  <si>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</si>
  <si>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</si>
  <si>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</si>
  <si>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</si>
  <si>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</si>
  <si>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</si>
  <si>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</si>
  <si>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</si>
  <si>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</si>
  <si>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</si>
  <si>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</si>
  <si>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</si>
  <si>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</si>
  <si>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</si>
  <si>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</si>
  <si>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</si>
  <si>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</si>
  <si>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</si>
  <si>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</si>
  <si>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</si>
  <si>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</si>
  <si>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</si>
  <si>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</si>
  <si>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</si>
  <si>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</si>
  <si>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</si>
  <si>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</si>
  <si>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</si>
  <si>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</si>
  <si>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</si>
  <si>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</si>
  <si>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</si>
  <si>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</si>
  <si>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</si>
  <si>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</si>
  <si>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</si>
  <si>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</si>
  <si>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</si>
  <si>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</si>
  <si>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</si>
  <si>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</si>
  <si>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</si>
  <si>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</si>
  <si>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</si>
  <si>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</si>
  <si>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</si>
  <si>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</si>
  <si>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</si>
  <si>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</si>
  <si>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</si>
  <si>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</si>
  <si>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</si>
  <si>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</si>
  <si>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</si>
  <si>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</si>
  <si>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</si>
  <si>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</si>
  <si>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</si>
  <si>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</si>
  <si>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</si>
  <si>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</si>
  <si>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</si>
  <si>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</si>
  <si>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</si>
  <si>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</si>
  <si>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</si>
  <si>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</si>
  <si>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</si>
  <si>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</si>
  <si>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</si>
  <si>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</si>
  <si>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</si>
  <si>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</si>
  <si>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</si>
  <si>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</si>
  <si>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</si>
  <si>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</si>
  <si>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</si>
  <si>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</si>
  <si>
    <t>type_Mall</t>
  </si>
  <si>
    <t>type_HighStreet</t>
  </si>
  <si>
    <t>type_Airport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</si>
  <si>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</si>
  <si>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</si>
  <si>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</si>
  <si>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</si>
  <si>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</si>
  <si>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</si>
  <si>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</si>
  <si>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</si>
  <si>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</si>
  <si>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</si>
  <si>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</si>
  <si>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</si>
  <si>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</si>
  <si>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</si>
  <si>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</si>
  <si>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</si>
  <si>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</si>
  <si>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</si>
  <si>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</si>
  <si>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</si>
  <si>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</si>
  <si>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</si>
  <si>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</si>
  <si>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</si>
  <si>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</si>
  <si>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 xml:space="preserve">SUMMARY OUTPUT: </t>
  </si>
  <si>
    <t>Model 1: monthly_sales vs marketing_spend</t>
  </si>
  <si>
    <t>Model 2: monthly_sales vs footfall</t>
  </si>
  <si>
    <t>Multiple Regression Data--&gt;&gt;</t>
  </si>
  <si>
    <t>SUMMARY OUTPUT: Multiple Regression</t>
  </si>
  <si>
    <t>Model Name</t>
  </si>
  <si>
    <t>Variables Used</t>
  </si>
  <si>
    <t>R- squared</t>
  </si>
  <si>
    <t>Significant Variables (p&lt;0.05)</t>
  </si>
  <si>
    <t>Model 1: Marketing Spend</t>
  </si>
  <si>
    <t>Model 2: Footfall</t>
  </si>
  <si>
    <t>Model 3: Multiple Regression</t>
  </si>
  <si>
    <t>marketing_spend, footfall, avg_discount_pct, store types</t>
  </si>
  <si>
    <t>marketing_spend, footfall, avg_discount_pct, type_Airport, type_HighStreet</t>
  </si>
  <si>
    <t>Predicted_Sales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</si>
</sst>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2" fontId="0" fillId="0" borderId="0" xfId="0" applyNumberFormat="1"/>
    <xf numFmtId="2" fontId="1" fillId="4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Continuous"/>
    </xf>
    <xf numFmtId="0" fontId="0" fillId="4" borderId="0" xfId="0" applyFill="1"/>
    <xf numFmtId="0" fontId="0" fillId="5" borderId="0" xfId="0" applyFill="1"/>
    <xf numFmtId="0" fontId="1" fillId="6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" fontId="0" fillId="0" borderId="4" xfId="0" applyNumberFormat="1" applyBorder="1"/>
    <xf numFmtId="0" fontId="0" fillId="0" borderId="4" xfId="0" applyBorder="1"/>
    <xf numFmtId="0" fontId="0" fillId="7" borderId="0" xfId="0" applyFill="1"/>
    <xf numFmtId="0" fontId="2" fillId="7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2" fillId="8" borderId="4" xfId="0" applyFont="1" applyFill="1" applyBorder="1" applyAlignment="1">
      <alignment horizontal="center" vertical="center" wrapText="1"/>
    </xf>
    <xf numFmtId="2" fontId="2" fillId="8" borderId="4" xfId="0" applyNumberFormat="1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tabSelected="1" workbookViewId="0"/>
  </sheetViews>
  <sheetFormatPr defaultRowHeight="13.8"/>
  <cols>
    <col min="1" max="14" width="16" customWidth="1"/>
  </cols>
  <sheetData>
    <row r="1" spans="1:14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0E476-F1EC-41C3-AE41-983DE1193A78}">
  <dimension ref="A1:M321"/>
  <sheetViews>
    <sheetView workbookViewId="0"/>
  </sheetViews>
  <sheetFormatPr defaultRowHeight="13.8"/>
  <cols>
    <col min="1" max="13" width="16" customWidth="1"/>
  </cols>
  <sheetData>
    <row r="1" spans="1:13" ht="22.3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s="2">
        <v>45658</v>
      </c>
      <c r="B2" t="s">
        <v>15</v>
      </c>
      <c r="C2" t="s">
        <v>16</v>
      </c>
      <c r="D2">
        <v>70389.11</v>
      </c>
      <c r="E2">
        <v>8302</v>
      </c>
      <c r="F2">
        <v>4.2000000000000003E-2</v>
      </c>
      <c r="G2">
        <v>17</v>
      </c>
      <c r="H2">
        <v>75</v>
      </c>
      <c r="I2">
        <v>5.28</v>
      </c>
      <c r="J2">
        <v>1</v>
      </c>
      <c r="K2">
        <v>3.1</v>
      </c>
      <c r="L2">
        <v>658832.62</v>
      </c>
      <c r="M2">
        <v>84349.93</v>
      </c>
    </row>
    <row r="3" spans="1:13">
      <c r="A3" s="2">
        <v>45689</v>
      </c>
      <c r="B3" t="s">
        <v>15</v>
      </c>
      <c r="C3" t="s">
        <v>16</v>
      </c>
      <c r="D3">
        <v>43827.89</v>
      </c>
      <c r="E3">
        <v>8487</v>
      </c>
      <c r="F3">
        <v>0.16800000000000001</v>
      </c>
      <c r="G3">
        <v>23</v>
      </c>
      <c r="H3">
        <v>84.4</v>
      </c>
      <c r="I3">
        <v>4.3099999999999996</v>
      </c>
      <c r="J3">
        <v>0</v>
      </c>
      <c r="K3">
        <v>2.8</v>
      </c>
      <c r="L3">
        <v>634436</v>
      </c>
      <c r="M3">
        <v>106130.54</v>
      </c>
    </row>
    <row r="4" spans="1:13">
      <c r="A4" s="2">
        <v>45717</v>
      </c>
      <c r="B4" t="s">
        <v>15</v>
      </c>
      <c r="C4" t="s">
        <v>16</v>
      </c>
      <c r="D4">
        <v>59921.75</v>
      </c>
      <c r="E4">
        <v>9113</v>
      </c>
      <c r="F4">
        <v>0.13300000000000001</v>
      </c>
      <c r="G4">
        <v>20</v>
      </c>
      <c r="H4">
        <v>88</v>
      </c>
      <c r="I4">
        <v>12</v>
      </c>
      <c r="J4">
        <v>0</v>
      </c>
      <c r="K4">
        <v>3.2</v>
      </c>
      <c r="L4">
        <v>678722.06</v>
      </c>
      <c r="M4">
        <v>101883.86</v>
      </c>
    </row>
    <row r="5" spans="1:13">
      <c r="A5" s="2">
        <v>45748</v>
      </c>
      <c r="B5" t="s">
        <v>15</v>
      </c>
      <c r="C5" t="s">
        <v>16</v>
      </c>
      <c r="D5">
        <v>56856.63</v>
      </c>
      <c r="E5">
        <v>9431</v>
      </c>
      <c r="F5">
        <v>0.14199999999999999</v>
      </c>
      <c r="G5">
        <v>23</v>
      </c>
      <c r="H5">
        <v>86.9</v>
      </c>
      <c r="I5">
        <v>4.97</v>
      </c>
      <c r="J5">
        <v>0</v>
      </c>
      <c r="K5">
        <v>3.4</v>
      </c>
      <c r="L5">
        <v>658920.30000000005</v>
      </c>
      <c r="M5">
        <v>97910.37</v>
      </c>
    </row>
    <row r="6" spans="1:13">
      <c r="A6" s="2">
        <v>45658</v>
      </c>
      <c r="B6" t="s">
        <v>15</v>
      </c>
      <c r="C6" t="s">
        <v>18</v>
      </c>
      <c r="D6">
        <v>48412.639999999999</v>
      </c>
      <c r="E6">
        <v>9545</v>
      </c>
      <c r="F6">
        <v>0.23100000000000001</v>
      </c>
      <c r="G6">
        <v>21</v>
      </c>
      <c r="H6">
        <v>97.6</v>
      </c>
      <c r="I6">
        <v>6.94</v>
      </c>
      <c r="J6">
        <v>1</v>
      </c>
      <c r="K6">
        <v>4.2</v>
      </c>
      <c r="L6">
        <v>741341.44</v>
      </c>
      <c r="M6">
        <v>119208.17</v>
      </c>
    </row>
    <row r="7" spans="1:13">
      <c r="A7" s="2">
        <v>45689</v>
      </c>
      <c r="B7" t="s">
        <v>15</v>
      </c>
      <c r="C7" t="s">
        <v>18</v>
      </c>
      <c r="D7">
        <v>64811.21</v>
      </c>
      <c r="E7">
        <v>9792</v>
      </c>
      <c r="F7">
        <v>0.112</v>
      </c>
      <c r="G7">
        <v>20</v>
      </c>
      <c r="H7">
        <v>84.2</v>
      </c>
      <c r="I7">
        <v>2.88</v>
      </c>
      <c r="J7">
        <v>0</v>
      </c>
      <c r="K7">
        <v>4.2</v>
      </c>
      <c r="L7">
        <v>761835.34</v>
      </c>
      <c r="M7">
        <v>149602.23000000001</v>
      </c>
    </row>
    <row r="8" spans="1:13">
      <c r="A8" s="2">
        <v>45717</v>
      </c>
      <c r="B8" t="s">
        <v>15</v>
      </c>
      <c r="C8" t="s">
        <v>18</v>
      </c>
      <c r="D8">
        <v>46213.45</v>
      </c>
      <c r="E8">
        <v>10616</v>
      </c>
      <c r="F8">
        <v>0.122</v>
      </c>
      <c r="G8">
        <v>22</v>
      </c>
      <c r="H8">
        <v>85.2</v>
      </c>
      <c r="I8">
        <v>0.2</v>
      </c>
      <c r="J8">
        <v>1</v>
      </c>
      <c r="K8">
        <v>4.0999999999999996</v>
      </c>
      <c r="L8">
        <v>806615.54</v>
      </c>
      <c r="M8">
        <v>131364.62</v>
      </c>
    </row>
    <row r="9" spans="1:13">
      <c r="A9" s="2">
        <v>45748</v>
      </c>
      <c r="B9" t="s">
        <v>15</v>
      </c>
      <c r="C9" t="s">
        <v>18</v>
      </c>
      <c r="D9">
        <v>68148.52</v>
      </c>
      <c r="E9">
        <v>8567</v>
      </c>
      <c r="F9">
        <v>0.127</v>
      </c>
      <c r="G9">
        <v>23</v>
      </c>
      <c r="H9">
        <v>95.6</v>
      </c>
      <c r="I9">
        <v>0.8</v>
      </c>
      <c r="J9">
        <v>0</v>
      </c>
      <c r="K9">
        <v>3.9</v>
      </c>
      <c r="L9">
        <v>850164.26</v>
      </c>
      <c r="M9">
        <v>149262.75</v>
      </c>
    </row>
    <row r="10" spans="1:13">
      <c r="A10" s="2">
        <v>45658</v>
      </c>
      <c r="B10" t="s">
        <v>20</v>
      </c>
      <c r="C10" t="s">
        <v>21</v>
      </c>
      <c r="D10">
        <v>71838.86</v>
      </c>
      <c r="E10">
        <v>10979</v>
      </c>
      <c r="F10">
        <v>0.215</v>
      </c>
      <c r="G10">
        <v>26</v>
      </c>
      <c r="H10">
        <v>88.6</v>
      </c>
      <c r="I10">
        <v>7.7</v>
      </c>
      <c r="J10">
        <v>1</v>
      </c>
      <c r="K10">
        <v>3.8</v>
      </c>
      <c r="L10">
        <v>930581.7</v>
      </c>
      <c r="M10">
        <v>136207.98000000001</v>
      </c>
    </row>
    <row r="11" spans="1:13">
      <c r="A11" s="2">
        <v>45689</v>
      </c>
      <c r="B11" t="s">
        <v>20</v>
      </c>
      <c r="C11" t="s">
        <v>21</v>
      </c>
      <c r="D11">
        <v>68133.440000000002</v>
      </c>
      <c r="E11">
        <v>9459</v>
      </c>
      <c r="F11">
        <v>0.22</v>
      </c>
      <c r="G11">
        <v>21</v>
      </c>
      <c r="H11">
        <v>85</v>
      </c>
      <c r="I11">
        <v>1.91</v>
      </c>
      <c r="J11">
        <v>0</v>
      </c>
      <c r="K11">
        <v>4.2</v>
      </c>
      <c r="L11">
        <v>779010.94</v>
      </c>
      <c r="M11">
        <v>106328.09</v>
      </c>
    </row>
    <row r="12" spans="1:13">
      <c r="A12" s="2">
        <v>45717</v>
      </c>
      <c r="B12" t="s">
        <v>20</v>
      </c>
      <c r="C12" t="s">
        <v>21</v>
      </c>
      <c r="D12">
        <v>34285.21</v>
      </c>
      <c r="E12">
        <v>9172</v>
      </c>
      <c r="F12">
        <v>0.21299999999999999</v>
      </c>
      <c r="G12">
        <v>22</v>
      </c>
      <c r="H12">
        <v>88.3</v>
      </c>
      <c r="I12">
        <v>10.46</v>
      </c>
      <c r="J12">
        <v>1</v>
      </c>
      <c r="K12">
        <v>3.8</v>
      </c>
      <c r="L12">
        <v>723060.76</v>
      </c>
      <c r="M12">
        <v>123131.24</v>
      </c>
    </row>
    <row r="13" spans="1:13">
      <c r="A13" s="2">
        <v>45748</v>
      </c>
      <c r="B13" t="s">
        <v>20</v>
      </c>
      <c r="C13" t="s">
        <v>21</v>
      </c>
      <c r="D13">
        <v>67979.88</v>
      </c>
      <c r="E13">
        <v>11230</v>
      </c>
      <c r="F13">
        <v>2E-3</v>
      </c>
      <c r="G13">
        <v>28</v>
      </c>
      <c r="H13">
        <v>85.3</v>
      </c>
      <c r="I13">
        <v>7.16</v>
      </c>
      <c r="J13">
        <v>0</v>
      </c>
      <c r="K13">
        <v>3.8</v>
      </c>
      <c r="L13">
        <v>910791.94</v>
      </c>
      <c r="M13">
        <v>158891.28</v>
      </c>
    </row>
    <row r="14" spans="1:13">
      <c r="A14" s="2">
        <v>45658</v>
      </c>
      <c r="B14" t="s">
        <v>15</v>
      </c>
      <c r="C14" t="s">
        <v>16</v>
      </c>
      <c r="D14">
        <v>71828.259999999995</v>
      </c>
      <c r="E14">
        <v>12775</v>
      </c>
      <c r="F14">
        <v>0.11600000000000001</v>
      </c>
      <c r="G14">
        <v>30</v>
      </c>
      <c r="H14">
        <v>81.7</v>
      </c>
      <c r="I14">
        <v>4.24</v>
      </c>
      <c r="J14">
        <v>1</v>
      </c>
      <c r="K14">
        <v>4.2</v>
      </c>
      <c r="L14">
        <v>922168.6</v>
      </c>
      <c r="M14">
        <v>107494.53</v>
      </c>
    </row>
    <row r="15" spans="1:13">
      <c r="A15" s="2">
        <v>45689</v>
      </c>
      <c r="B15" t="s">
        <v>15</v>
      </c>
      <c r="C15" t="s">
        <v>16</v>
      </c>
      <c r="D15">
        <v>55716.82</v>
      </c>
      <c r="E15">
        <v>10054</v>
      </c>
      <c r="F15">
        <v>0.14599999999999999</v>
      </c>
      <c r="G15">
        <v>24</v>
      </c>
      <c r="H15">
        <v>84.9</v>
      </c>
      <c r="I15">
        <v>1.06</v>
      </c>
      <c r="J15">
        <v>0</v>
      </c>
      <c r="K15">
        <v>4.3</v>
      </c>
      <c r="L15">
        <v>726606.28</v>
      </c>
      <c r="M15">
        <v>122729.29</v>
      </c>
    </row>
    <row r="16" spans="1:13">
      <c r="A16" s="2">
        <v>45717</v>
      </c>
      <c r="B16" t="s">
        <v>15</v>
      </c>
      <c r="C16" t="s">
        <v>16</v>
      </c>
      <c r="D16">
        <v>59909.51</v>
      </c>
      <c r="E16">
        <v>8895</v>
      </c>
      <c r="F16">
        <v>0.22800000000000001</v>
      </c>
      <c r="G16">
        <v>23</v>
      </c>
      <c r="H16">
        <v>88.8</v>
      </c>
      <c r="I16">
        <v>0.27</v>
      </c>
      <c r="J16">
        <v>0</v>
      </c>
      <c r="K16">
        <v>4.3</v>
      </c>
      <c r="L16">
        <v>746501.09</v>
      </c>
      <c r="M16">
        <v>136816.72</v>
      </c>
    </row>
    <row r="17" spans="1:13">
      <c r="A17" s="2">
        <v>45748</v>
      </c>
      <c r="B17" t="s">
        <v>15</v>
      </c>
      <c r="C17" t="s">
        <v>16</v>
      </c>
      <c r="D17">
        <v>75305.710000000006</v>
      </c>
      <c r="E17">
        <v>10940</v>
      </c>
      <c r="F17">
        <v>6.0000000000000001E-3</v>
      </c>
      <c r="G17">
        <v>26</v>
      </c>
      <c r="H17">
        <v>76.5</v>
      </c>
      <c r="I17">
        <v>1.32</v>
      </c>
      <c r="J17">
        <v>0</v>
      </c>
      <c r="K17">
        <v>4.5</v>
      </c>
      <c r="L17">
        <v>834017.02</v>
      </c>
      <c r="M17">
        <v>114745.03</v>
      </c>
    </row>
    <row r="18" spans="1:13">
      <c r="A18" s="2">
        <v>45658</v>
      </c>
      <c r="B18" t="s">
        <v>24</v>
      </c>
      <c r="C18" t="s">
        <v>16</v>
      </c>
      <c r="D18">
        <v>48804.22</v>
      </c>
      <c r="E18">
        <v>7057</v>
      </c>
      <c r="F18">
        <v>5.0000000000000001E-3</v>
      </c>
      <c r="G18">
        <v>15</v>
      </c>
      <c r="H18">
        <v>87.7</v>
      </c>
      <c r="I18">
        <v>1.22</v>
      </c>
      <c r="J18">
        <v>0</v>
      </c>
      <c r="K18">
        <v>3.7</v>
      </c>
      <c r="L18">
        <v>666152.52</v>
      </c>
      <c r="M18">
        <v>107490.58</v>
      </c>
    </row>
    <row r="19" spans="1:13">
      <c r="A19" s="2">
        <v>45689</v>
      </c>
      <c r="B19" t="s">
        <v>24</v>
      </c>
      <c r="C19" t="s">
        <v>16</v>
      </c>
      <c r="D19">
        <v>59117.9</v>
      </c>
      <c r="E19">
        <v>4263</v>
      </c>
      <c r="F19">
        <v>0.11899999999999999</v>
      </c>
      <c r="G19">
        <v>9</v>
      </c>
      <c r="H19">
        <v>87.6</v>
      </c>
      <c r="I19">
        <v>4.01</v>
      </c>
      <c r="J19">
        <v>0</v>
      </c>
      <c r="K19">
        <v>3.6</v>
      </c>
      <c r="L19">
        <v>573155.18999999994</v>
      </c>
      <c r="M19">
        <v>83680.75</v>
      </c>
    </row>
    <row r="20" spans="1:13">
      <c r="A20" s="2">
        <v>45717</v>
      </c>
      <c r="B20" t="s">
        <v>24</v>
      </c>
      <c r="C20" t="s">
        <v>16</v>
      </c>
      <c r="D20">
        <v>78831.12</v>
      </c>
      <c r="E20">
        <v>5538</v>
      </c>
      <c r="F20">
        <v>0</v>
      </c>
      <c r="G20">
        <v>15</v>
      </c>
      <c r="H20">
        <v>94.1</v>
      </c>
      <c r="I20">
        <v>0.2</v>
      </c>
      <c r="J20">
        <v>0</v>
      </c>
      <c r="K20">
        <v>3.9</v>
      </c>
      <c r="L20">
        <v>666573.19999999995</v>
      </c>
      <c r="M20">
        <v>140641.01999999999</v>
      </c>
    </row>
    <row r="21" spans="1:13">
      <c r="A21" s="2">
        <v>45748</v>
      </c>
      <c r="B21" t="s">
        <v>24</v>
      </c>
      <c r="C21" t="s">
        <v>16</v>
      </c>
      <c r="D21">
        <v>41441.93</v>
      </c>
      <c r="E21">
        <v>4865</v>
      </c>
      <c r="F21">
        <v>0.158</v>
      </c>
      <c r="G21">
        <v>16</v>
      </c>
      <c r="H21">
        <v>88.3</v>
      </c>
      <c r="I21">
        <v>0.5</v>
      </c>
      <c r="J21">
        <v>0</v>
      </c>
      <c r="K21">
        <v>4</v>
      </c>
      <c r="L21">
        <v>591619.94999999995</v>
      </c>
      <c r="M21">
        <v>99521.35</v>
      </c>
    </row>
    <row r="22" spans="1:13">
      <c r="A22" s="2">
        <v>45658</v>
      </c>
      <c r="B22" t="s">
        <v>20</v>
      </c>
      <c r="C22" t="s">
        <v>16</v>
      </c>
      <c r="D22">
        <v>30356.28</v>
      </c>
      <c r="E22">
        <v>2822</v>
      </c>
      <c r="F22">
        <v>0.23100000000000001</v>
      </c>
      <c r="G22">
        <v>9</v>
      </c>
      <c r="H22">
        <v>84.8</v>
      </c>
      <c r="I22">
        <v>6.95</v>
      </c>
      <c r="J22">
        <v>0</v>
      </c>
      <c r="K22">
        <v>5</v>
      </c>
      <c r="L22">
        <v>415721.82</v>
      </c>
      <c r="M22">
        <v>61179.15</v>
      </c>
    </row>
    <row r="23" spans="1:13">
      <c r="A23" s="2">
        <v>45689</v>
      </c>
      <c r="B23" t="s">
        <v>20</v>
      </c>
      <c r="C23" t="s">
        <v>16</v>
      </c>
      <c r="D23">
        <v>33518.879999999997</v>
      </c>
      <c r="E23">
        <v>2121</v>
      </c>
      <c r="F23">
        <v>0.17599999999999999</v>
      </c>
      <c r="G23">
        <v>8</v>
      </c>
      <c r="H23">
        <v>88.5</v>
      </c>
      <c r="I23">
        <v>0.2</v>
      </c>
      <c r="J23">
        <v>0</v>
      </c>
      <c r="K23">
        <v>5</v>
      </c>
      <c r="L23">
        <v>491905.13</v>
      </c>
      <c r="M23">
        <v>79212.259999999995</v>
      </c>
    </row>
    <row r="24" spans="1:13">
      <c r="A24" s="2">
        <v>45717</v>
      </c>
      <c r="B24" t="s">
        <v>20</v>
      </c>
      <c r="C24" t="s">
        <v>16</v>
      </c>
      <c r="D24">
        <v>42267.37</v>
      </c>
      <c r="E24">
        <v>3364</v>
      </c>
      <c r="F24">
        <v>0.16</v>
      </c>
      <c r="G24">
        <v>13</v>
      </c>
      <c r="H24">
        <v>82</v>
      </c>
      <c r="I24">
        <v>1.61</v>
      </c>
      <c r="J24">
        <v>1</v>
      </c>
      <c r="K24">
        <v>4.5999999999999996</v>
      </c>
      <c r="L24">
        <v>555929.4</v>
      </c>
      <c r="M24">
        <v>115201.76</v>
      </c>
    </row>
    <row r="25" spans="1:13">
      <c r="A25" s="2">
        <v>45748</v>
      </c>
      <c r="B25" t="s">
        <v>20</v>
      </c>
      <c r="C25" t="s">
        <v>16</v>
      </c>
      <c r="D25">
        <v>62060.43</v>
      </c>
      <c r="E25">
        <v>2613</v>
      </c>
      <c r="F25">
        <v>0.216</v>
      </c>
      <c r="G25">
        <v>12</v>
      </c>
      <c r="H25">
        <v>92.1</v>
      </c>
      <c r="I25">
        <v>1.55</v>
      </c>
      <c r="J25">
        <v>0</v>
      </c>
      <c r="K25">
        <v>4.7</v>
      </c>
      <c r="L25">
        <v>565810.99</v>
      </c>
      <c r="M25">
        <v>77825.460000000006</v>
      </c>
    </row>
    <row r="26" spans="1:13">
      <c r="A26" s="2">
        <v>45658</v>
      </c>
      <c r="B26" t="s">
        <v>27</v>
      </c>
      <c r="C26" t="s">
        <v>28</v>
      </c>
      <c r="D26">
        <v>57696.69</v>
      </c>
      <c r="E26">
        <v>10218</v>
      </c>
      <c r="F26">
        <v>0.121</v>
      </c>
      <c r="G26">
        <v>25</v>
      </c>
      <c r="H26">
        <v>94.8</v>
      </c>
      <c r="I26">
        <v>2.99</v>
      </c>
      <c r="J26">
        <v>0</v>
      </c>
      <c r="K26">
        <v>3.5</v>
      </c>
      <c r="L26">
        <v>811771.14</v>
      </c>
      <c r="M26">
        <v>148756.24</v>
      </c>
    </row>
    <row r="27" spans="1:13">
      <c r="A27" s="2">
        <v>45689</v>
      </c>
      <c r="B27" t="s">
        <v>27</v>
      </c>
      <c r="C27" t="s">
        <v>28</v>
      </c>
      <c r="D27">
        <v>172415.52</v>
      </c>
      <c r="E27">
        <v>8927</v>
      </c>
      <c r="F27">
        <v>0.14000000000000001</v>
      </c>
      <c r="G27">
        <v>22</v>
      </c>
      <c r="H27">
        <v>86.2</v>
      </c>
      <c r="I27">
        <v>7.04</v>
      </c>
      <c r="J27">
        <v>0</v>
      </c>
      <c r="K27">
        <v>3.9</v>
      </c>
      <c r="L27">
        <v>800451.94</v>
      </c>
      <c r="M27">
        <v>111572.29</v>
      </c>
    </row>
    <row r="28" spans="1:13">
      <c r="A28" s="2">
        <v>45717</v>
      </c>
      <c r="B28" t="s">
        <v>27</v>
      </c>
      <c r="C28" t="s">
        <v>28</v>
      </c>
      <c r="D28">
        <v>55270.52</v>
      </c>
      <c r="E28">
        <v>9315</v>
      </c>
      <c r="F28">
        <v>0.16900000000000001</v>
      </c>
      <c r="G28">
        <v>23</v>
      </c>
      <c r="H28">
        <v>91.9</v>
      </c>
      <c r="I28">
        <v>4.9400000000000004</v>
      </c>
      <c r="J28">
        <v>0</v>
      </c>
      <c r="K28">
        <v>4</v>
      </c>
      <c r="L28">
        <v>783672.82</v>
      </c>
      <c r="M28">
        <v>112577.14</v>
      </c>
    </row>
    <row r="29" spans="1:13">
      <c r="A29" s="2">
        <v>45748</v>
      </c>
      <c r="B29" t="s">
        <v>27</v>
      </c>
      <c r="C29" t="s">
        <v>28</v>
      </c>
      <c r="D29">
        <v>52715.1</v>
      </c>
      <c r="E29">
        <v>7223</v>
      </c>
      <c r="F29">
        <v>0.122</v>
      </c>
      <c r="G29">
        <v>16</v>
      </c>
      <c r="H29">
        <v>84.2</v>
      </c>
      <c r="I29">
        <v>16.149999999999999</v>
      </c>
      <c r="J29">
        <v>0</v>
      </c>
      <c r="K29">
        <v>3.7</v>
      </c>
      <c r="L29">
        <v>701641.97</v>
      </c>
      <c r="M29">
        <v>106111.86</v>
      </c>
    </row>
    <row r="30" spans="1:13">
      <c r="A30" s="2">
        <v>45658</v>
      </c>
      <c r="B30" t="s">
        <v>15</v>
      </c>
      <c r="C30" t="s">
        <v>16</v>
      </c>
      <c r="D30">
        <v>68600.62</v>
      </c>
      <c r="E30">
        <v>3988</v>
      </c>
      <c r="F30">
        <v>0.124</v>
      </c>
      <c r="G30">
        <v>11</v>
      </c>
      <c r="H30">
        <v>85</v>
      </c>
      <c r="I30">
        <v>0.48</v>
      </c>
      <c r="J30">
        <v>0</v>
      </c>
      <c r="K30">
        <v>3.6</v>
      </c>
      <c r="L30">
        <v>511844.41</v>
      </c>
      <c r="M30">
        <v>72774.44</v>
      </c>
    </row>
    <row r="31" spans="1:13">
      <c r="A31" s="2">
        <v>45689</v>
      </c>
      <c r="B31" t="s">
        <v>15</v>
      </c>
      <c r="C31" t="s">
        <v>16</v>
      </c>
      <c r="D31">
        <v>63176.73</v>
      </c>
      <c r="E31">
        <v>2390</v>
      </c>
      <c r="F31">
        <v>0.216</v>
      </c>
      <c r="G31">
        <v>9</v>
      </c>
      <c r="H31">
        <v>87.5</v>
      </c>
      <c r="I31">
        <v>0.31</v>
      </c>
      <c r="J31">
        <v>0</v>
      </c>
      <c r="K31">
        <v>3.1</v>
      </c>
      <c r="L31">
        <v>537383.79</v>
      </c>
      <c r="M31">
        <v>63773.27</v>
      </c>
    </row>
    <row r="32" spans="1:13">
      <c r="A32" s="2">
        <v>45717</v>
      </c>
      <c r="B32" t="s">
        <v>15</v>
      </c>
      <c r="C32" t="s">
        <v>16</v>
      </c>
      <c r="D32">
        <v>44970.080000000002</v>
      </c>
      <c r="E32">
        <v>2471</v>
      </c>
      <c r="F32">
        <v>0.13600000000000001</v>
      </c>
      <c r="G32">
        <v>11</v>
      </c>
      <c r="H32">
        <v>87.6</v>
      </c>
      <c r="I32">
        <v>3.01</v>
      </c>
      <c r="J32">
        <v>1</v>
      </c>
      <c r="K32">
        <v>3.7</v>
      </c>
      <c r="L32">
        <v>500173.02</v>
      </c>
      <c r="M32">
        <v>70982.05</v>
      </c>
    </row>
    <row r="33" spans="1:13">
      <c r="A33" s="2">
        <v>45748</v>
      </c>
      <c r="B33" t="s">
        <v>15</v>
      </c>
      <c r="C33" t="s">
        <v>16</v>
      </c>
      <c r="D33">
        <v>69816.350000000006</v>
      </c>
      <c r="E33">
        <v>971</v>
      </c>
      <c r="F33">
        <v>0.16800000000000001</v>
      </c>
      <c r="G33">
        <v>5</v>
      </c>
      <c r="H33">
        <v>89.9</v>
      </c>
      <c r="I33">
        <v>12.15</v>
      </c>
      <c r="J33">
        <v>0</v>
      </c>
      <c r="K33">
        <v>3.6</v>
      </c>
      <c r="L33">
        <v>427917.38</v>
      </c>
      <c r="M33">
        <v>81824.31</v>
      </c>
    </row>
    <row r="34" spans="1:13">
      <c r="A34" s="2">
        <v>45658</v>
      </c>
      <c r="B34" t="s">
        <v>20</v>
      </c>
      <c r="C34" t="s">
        <v>16</v>
      </c>
      <c r="D34">
        <v>54597.83</v>
      </c>
      <c r="E34">
        <v>9429</v>
      </c>
      <c r="F34">
        <v>0.188</v>
      </c>
      <c r="G34">
        <v>21</v>
      </c>
      <c r="H34">
        <v>83.3</v>
      </c>
      <c r="I34">
        <v>11.71</v>
      </c>
      <c r="J34">
        <v>0</v>
      </c>
      <c r="K34">
        <v>4.2</v>
      </c>
      <c r="L34">
        <v>641865.03</v>
      </c>
      <c r="M34">
        <v>81342.58</v>
      </c>
    </row>
    <row r="35" spans="1:13">
      <c r="A35" s="2">
        <v>45689</v>
      </c>
      <c r="B35" t="s">
        <v>20</v>
      </c>
      <c r="C35" t="s">
        <v>16</v>
      </c>
      <c r="D35">
        <v>73771.91</v>
      </c>
      <c r="E35">
        <v>11695</v>
      </c>
      <c r="F35">
        <v>7.0000000000000007E-2</v>
      </c>
      <c r="G35">
        <v>25</v>
      </c>
      <c r="H35">
        <v>84.7</v>
      </c>
      <c r="I35">
        <v>0.62</v>
      </c>
      <c r="J35">
        <v>0</v>
      </c>
      <c r="L35">
        <v>799477.76000000001</v>
      </c>
      <c r="M35">
        <v>164974.41</v>
      </c>
    </row>
    <row r="36" spans="1:13">
      <c r="A36" s="2">
        <v>45717</v>
      </c>
      <c r="B36" t="s">
        <v>20</v>
      </c>
      <c r="C36" t="s">
        <v>16</v>
      </c>
      <c r="D36">
        <v>74413.88</v>
      </c>
      <c r="E36">
        <v>9449</v>
      </c>
      <c r="F36">
        <v>3.9E-2</v>
      </c>
      <c r="G36">
        <v>23</v>
      </c>
      <c r="H36">
        <v>92.1</v>
      </c>
      <c r="I36">
        <v>2.12</v>
      </c>
      <c r="J36">
        <v>0</v>
      </c>
      <c r="K36">
        <v>3.5</v>
      </c>
      <c r="L36">
        <v>798952.17</v>
      </c>
      <c r="M36">
        <v>161499.04</v>
      </c>
    </row>
    <row r="37" spans="1:13">
      <c r="A37" s="2">
        <v>45748</v>
      </c>
      <c r="B37" t="s">
        <v>20</v>
      </c>
      <c r="C37" t="s">
        <v>16</v>
      </c>
      <c r="D37">
        <v>52483.77</v>
      </c>
      <c r="E37">
        <v>10453</v>
      </c>
      <c r="F37">
        <v>0.247</v>
      </c>
      <c r="G37">
        <v>25</v>
      </c>
      <c r="H37">
        <v>99</v>
      </c>
      <c r="I37">
        <v>6.31</v>
      </c>
      <c r="J37">
        <v>0</v>
      </c>
      <c r="K37">
        <v>3.6</v>
      </c>
      <c r="L37">
        <v>800979.78</v>
      </c>
      <c r="M37">
        <v>149242.26999999999</v>
      </c>
    </row>
    <row r="38" spans="1:13">
      <c r="A38" s="2">
        <v>45658</v>
      </c>
      <c r="B38" t="s">
        <v>20</v>
      </c>
      <c r="C38" t="s">
        <v>28</v>
      </c>
      <c r="D38">
        <v>75269.87</v>
      </c>
      <c r="E38">
        <v>8838</v>
      </c>
      <c r="F38">
        <v>9.1999999999999998E-2</v>
      </c>
      <c r="G38">
        <v>21</v>
      </c>
      <c r="H38">
        <v>83.1</v>
      </c>
      <c r="I38">
        <v>9.56</v>
      </c>
      <c r="J38">
        <v>1</v>
      </c>
      <c r="K38">
        <v>4.2</v>
      </c>
      <c r="L38">
        <v>820593.93</v>
      </c>
      <c r="M38">
        <v>115860.06</v>
      </c>
    </row>
    <row r="39" spans="1:13">
      <c r="A39" s="2">
        <v>45689</v>
      </c>
      <c r="B39" t="s">
        <v>20</v>
      </c>
      <c r="C39" t="s">
        <v>28</v>
      </c>
      <c r="D39">
        <v>61245.41</v>
      </c>
      <c r="E39">
        <v>8156</v>
      </c>
      <c r="F39">
        <v>0.156</v>
      </c>
      <c r="G39">
        <v>19</v>
      </c>
      <c r="H39">
        <v>92.9</v>
      </c>
      <c r="I39">
        <v>9.0500000000000007</v>
      </c>
      <c r="J39">
        <v>0</v>
      </c>
      <c r="K39">
        <v>3.8</v>
      </c>
      <c r="L39">
        <v>718330.53</v>
      </c>
      <c r="M39">
        <v>93247.9</v>
      </c>
    </row>
    <row r="40" spans="1:13">
      <c r="A40" s="2">
        <v>45717</v>
      </c>
      <c r="B40" t="s">
        <v>20</v>
      </c>
      <c r="C40" t="s">
        <v>28</v>
      </c>
      <c r="D40">
        <v>93381.26</v>
      </c>
      <c r="E40">
        <v>7562</v>
      </c>
      <c r="F40">
        <v>0.19800000000000001</v>
      </c>
      <c r="G40">
        <v>19</v>
      </c>
      <c r="H40">
        <v>82.9</v>
      </c>
      <c r="I40">
        <v>5.05</v>
      </c>
      <c r="J40">
        <v>0</v>
      </c>
      <c r="K40">
        <v>4</v>
      </c>
      <c r="L40">
        <v>736633.4</v>
      </c>
      <c r="M40">
        <v>115654.66</v>
      </c>
    </row>
    <row r="41" spans="1:13">
      <c r="A41" s="2">
        <v>45748</v>
      </c>
      <c r="B41" t="s">
        <v>20</v>
      </c>
      <c r="C41" t="s">
        <v>28</v>
      </c>
      <c r="D41">
        <v>65012.19</v>
      </c>
      <c r="E41">
        <v>9598</v>
      </c>
      <c r="F41">
        <v>8.5000000000000006E-2</v>
      </c>
      <c r="G41">
        <v>24</v>
      </c>
      <c r="H41">
        <v>98.3</v>
      </c>
      <c r="I41">
        <v>0.89</v>
      </c>
      <c r="J41">
        <v>0</v>
      </c>
      <c r="K41">
        <v>3.8</v>
      </c>
      <c r="L41">
        <v>828623.85</v>
      </c>
      <c r="M41">
        <v>167320.51999999999</v>
      </c>
    </row>
    <row r="42" spans="1:13">
      <c r="A42" s="2">
        <v>45658</v>
      </c>
      <c r="B42" t="s">
        <v>15</v>
      </c>
      <c r="C42" t="s">
        <v>28</v>
      </c>
      <c r="D42">
        <v>40462.94</v>
      </c>
      <c r="E42">
        <v>3660</v>
      </c>
      <c r="F42">
        <v>0.218</v>
      </c>
      <c r="G42">
        <v>11</v>
      </c>
      <c r="H42">
        <v>95.2</v>
      </c>
      <c r="I42">
        <v>5.57</v>
      </c>
      <c r="J42">
        <v>0</v>
      </c>
      <c r="K42">
        <v>4.4000000000000004</v>
      </c>
      <c r="L42">
        <v>592195.85</v>
      </c>
      <c r="M42">
        <v>92291.56</v>
      </c>
    </row>
    <row r="43" spans="1:13">
      <c r="A43" s="2">
        <v>45689</v>
      </c>
      <c r="B43" t="s">
        <v>15</v>
      </c>
      <c r="C43" t="s">
        <v>28</v>
      </c>
      <c r="D43">
        <v>46123.88</v>
      </c>
      <c r="E43">
        <v>3227</v>
      </c>
      <c r="F43">
        <v>0.14299999999999999</v>
      </c>
      <c r="G43">
        <v>10</v>
      </c>
      <c r="H43">
        <v>75.400000000000006</v>
      </c>
      <c r="I43">
        <v>1.06</v>
      </c>
      <c r="J43">
        <v>0</v>
      </c>
      <c r="K43">
        <v>4.4000000000000004</v>
      </c>
      <c r="L43">
        <v>532644.46</v>
      </c>
      <c r="M43">
        <v>60681.32</v>
      </c>
    </row>
    <row r="44" spans="1:13">
      <c r="A44" s="2">
        <v>45717</v>
      </c>
      <c r="B44" t="s">
        <v>15</v>
      </c>
      <c r="C44" t="s">
        <v>28</v>
      </c>
      <c r="D44">
        <v>68077.539999999994</v>
      </c>
      <c r="E44">
        <v>3360</v>
      </c>
      <c r="F44">
        <v>0.128</v>
      </c>
      <c r="G44">
        <v>14</v>
      </c>
      <c r="H44">
        <v>88.2</v>
      </c>
      <c r="I44">
        <v>1.24</v>
      </c>
      <c r="J44">
        <v>1</v>
      </c>
      <c r="K44">
        <v>4</v>
      </c>
      <c r="L44">
        <v>657429.18000000005</v>
      </c>
      <c r="M44">
        <v>88919.74</v>
      </c>
    </row>
    <row r="45" spans="1:13">
      <c r="A45" s="2">
        <v>45748</v>
      </c>
      <c r="B45" t="s">
        <v>15</v>
      </c>
      <c r="C45" t="s">
        <v>28</v>
      </c>
      <c r="D45">
        <v>64882.14</v>
      </c>
      <c r="E45">
        <v>3642</v>
      </c>
      <c r="F45">
        <v>1.9E-2</v>
      </c>
      <c r="G45">
        <v>13</v>
      </c>
      <c r="H45">
        <v>87.8</v>
      </c>
      <c r="I45">
        <v>4.5199999999999996</v>
      </c>
      <c r="J45">
        <v>0</v>
      </c>
      <c r="K45">
        <v>4.2</v>
      </c>
      <c r="L45">
        <v>605178</v>
      </c>
      <c r="M45">
        <v>106958.74</v>
      </c>
    </row>
    <row r="46" spans="1:13">
      <c r="A46" s="2">
        <v>45658</v>
      </c>
      <c r="B46" t="s">
        <v>27</v>
      </c>
      <c r="C46" t="s">
        <v>16</v>
      </c>
      <c r="D46">
        <v>138855.51</v>
      </c>
      <c r="E46">
        <v>5145</v>
      </c>
      <c r="F46">
        <v>0.06</v>
      </c>
      <c r="G46">
        <v>17</v>
      </c>
      <c r="H46">
        <v>88.2</v>
      </c>
      <c r="I46">
        <v>9.58</v>
      </c>
      <c r="J46">
        <v>0</v>
      </c>
      <c r="K46">
        <v>3.2</v>
      </c>
      <c r="L46">
        <v>595467.6</v>
      </c>
      <c r="M46">
        <v>104276.46</v>
      </c>
    </row>
    <row r="47" spans="1:13">
      <c r="A47" s="2">
        <v>45689</v>
      </c>
      <c r="B47" t="s">
        <v>27</v>
      </c>
      <c r="C47" t="s">
        <v>16</v>
      </c>
      <c r="D47">
        <v>63630.21</v>
      </c>
      <c r="E47">
        <v>4460</v>
      </c>
      <c r="F47">
        <v>0.23499999999999999</v>
      </c>
      <c r="G47">
        <v>14</v>
      </c>
      <c r="H47">
        <v>98.6</v>
      </c>
      <c r="I47">
        <v>5.52</v>
      </c>
      <c r="J47">
        <v>0</v>
      </c>
      <c r="K47">
        <v>3.5</v>
      </c>
      <c r="L47">
        <v>599603.4</v>
      </c>
      <c r="M47">
        <v>112685.12</v>
      </c>
    </row>
    <row r="48" spans="1:13">
      <c r="A48" s="2">
        <v>45717</v>
      </c>
      <c r="B48" t="s">
        <v>27</v>
      </c>
      <c r="C48" t="s">
        <v>16</v>
      </c>
      <c r="D48">
        <v>50043.65</v>
      </c>
      <c r="E48">
        <v>3804</v>
      </c>
      <c r="F48">
        <v>0.113</v>
      </c>
      <c r="G48">
        <v>11</v>
      </c>
      <c r="H48">
        <v>90.9</v>
      </c>
      <c r="I48">
        <v>2.7</v>
      </c>
      <c r="J48">
        <v>1</v>
      </c>
      <c r="K48">
        <v>3.2</v>
      </c>
      <c r="L48">
        <v>614800.09</v>
      </c>
      <c r="M48">
        <v>100044.2</v>
      </c>
    </row>
    <row r="49" spans="1:13">
      <c r="A49" s="2">
        <v>45748</v>
      </c>
      <c r="B49" t="s">
        <v>27</v>
      </c>
      <c r="C49" t="s">
        <v>16</v>
      </c>
      <c r="D49">
        <v>42093.84</v>
      </c>
      <c r="E49">
        <v>4074</v>
      </c>
      <c r="F49">
        <v>0.155</v>
      </c>
      <c r="G49">
        <v>15</v>
      </c>
      <c r="H49">
        <v>88</v>
      </c>
      <c r="I49">
        <v>9.64</v>
      </c>
      <c r="J49">
        <v>0</v>
      </c>
      <c r="K49">
        <v>3.3</v>
      </c>
      <c r="L49">
        <v>585365.73</v>
      </c>
      <c r="M49">
        <v>81011.520000000004</v>
      </c>
    </row>
    <row r="50" spans="1:13">
      <c r="A50" s="2">
        <v>45658</v>
      </c>
      <c r="B50" t="s">
        <v>20</v>
      </c>
      <c r="C50" t="s">
        <v>28</v>
      </c>
      <c r="D50">
        <v>46624.05</v>
      </c>
      <c r="E50">
        <v>5104</v>
      </c>
      <c r="F50">
        <v>0.109</v>
      </c>
      <c r="G50">
        <v>11</v>
      </c>
      <c r="H50">
        <v>97.3</v>
      </c>
      <c r="I50">
        <v>3.49</v>
      </c>
      <c r="J50">
        <v>1</v>
      </c>
      <c r="K50">
        <v>4.7</v>
      </c>
      <c r="L50">
        <v>622811.74</v>
      </c>
      <c r="M50">
        <v>109978.35</v>
      </c>
    </row>
    <row r="51" spans="1:13">
      <c r="A51" s="2">
        <v>45689</v>
      </c>
      <c r="B51" t="s">
        <v>20</v>
      </c>
      <c r="C51" t="s">
        <v>28</v>
      </c>
      <c r="D51">
        <v>49710.29</v>
      </c>
      <c r="E51">
        <v>5559</v>
      </c>
      <c r="F51">
        <v>0.218</v>
      </c>
      <c r="G51">
        <v>14</v>
      </c>
      <c r="H51">
        <v>71</v>
      </c>
      <c r="I51">
        <v>9.11</v>
      </c>
      <c r="J51">
        <v>0</v>
      </c>
      <c r="K51">
        <v>4.5999999999999996</v>
      </c>
      <c r="L51">
        <v>603297.56999999995</v>
      </c>
      <c r="M51">
        <v>60592.26</v>
      </c>
    </row>
    <row r="52" spans="1:13">
      <c r="A52" s="2">
        <v>45717</v>
      </c>
      <c r="B52" t="s">
        <v>20</v>
      </c>
      <c r="C52" t="s">
        <v>28</v>
      </c>
      <c r="D52">
        <v>48287.85</v>
      </c>
      <c r="E52">
        <v>5150</v>
      </c>
      <c r="F52">
        <v>8.0000000000000002E-3</v>
      </c>
      <c r="G52">
        <v>12</v>
      </c>
      <c r="H52">
        <v>80.400000000000006</v>
      </c>
      <c r="I52">
        <v>7.4</v>
      </c>
      <c r="J52">
        <v>0</v>
      </c>
      <c r="K52">
        <v>4.5</v>
      </c>
      <c r="L52">
        <v>625672.86</v>
      </c>
      <c r="M52">
        <v>118020.12</v>
      </c>
    </row>
    <row r="53" spans="1:13">
      <c r="A53" s="2">
        <v>45748</v>
      </c>
      <c r="B53" t="s">
        <v>20</v>
      </c>
      <c r="C53" t="s">
        <v>28</v>
      </c>
      <c r="D53">
        <v>65312.49</v>
      </c>
      <c r="E53">
        <v>7189</v>
      </c>
      <c r="F53">
        <v>0.05</v>
      </c>
      <c r="G53">
        <v>19</v>
      </c>
      <c r="H53">
        <v>93.7</v>
      </c>
      <c r="I53">
        <v>7.16</v>
      </c>
      <c r="J53">
        <v>0</v>
      </c>
      <c r="K53">
        <v>4.5999999999999996</v>
      </c>
      <c r="L53">
        <v>773815.14</v>
      </c>
      <c r="M53">
        <v>133948.39000000001</v>
      </c>
    </row>
    <row r="54" spans="1:13">
      <c r="A54" s="2">
        <v>45658</v>
      </c>
      <c r="B54" t="s">
        <v>27</v>
      </c>
      <c r="C54" t="s">
        <v>18</v>
      </c>
      <c r="D54">
        <v>53015.46</v>
      </c>
      <c r="E54">
        <v>3279</v>
      </c>
      <c r="F54">
        <v>8.6999999999999994E-2</v>
      </c>
      <c r="G54">
        <v>9</v>
      </c>
      <c r="H54">
        <v>84.3</v>
      </c>
      <c r="I54">
        <v>22.02</v>
      </c>
      <c r="J54">
        <v>0</v>
      </c>
      <c r="K54">
        <v>3.9</v>
      </c>
      <c r="L54">
        <v>463534.25</v>
      </c>
      <c r="M54">
        <v>81834.539999999994</v>
      </c>
    </row>
    <row r="55" spans="1:13">
      <c r="A55" s="2">
        <v>45689</v>
      </c>
      <c r="B55" t="s">
        <v>27</v>
      </c>
      <c r="C55" t="s">
        <v>18</v>
      </c>
      <c r="D55">
        <v>99874.01</v>
      </c>
      <c r="E55">
        <v>5887</v>
      </c>
      <c r="F55">
        <v>0.26200000000000001</v>
      </c>
      <c r="G55">
        <v>14</v>
      </c>
      <c r="H55">
        <v>88.7</v>
      </c>
      <c r="I55">
        <v>6.18</v>
      </c>
      <c r="J55">
        <v>0</v>
      </c>
      <c r="K55">
        <v>4.7</v>
      </c>
      <c r="L55">
        <v>746677.75</v>
      </c>
      <c r="M55">
        <v>122437.84</v>
      </c>
    </row>
    <row r="56" spans="1:13">
      <c r="A56" s="2">
        <v>45717</v>
      </c>
      <c r="B56" t="s">
        <v>27</v>
      </c>
      <c r="C56" t="s">
        <v>18</v>
      </c>
      <c r="D56">
        <v>81195.5</v>
      </c>
      <c r="E56">
        <v>5516</v>
      </c>
      <c r="F56">
        <v>0.106</v>
      </c>
      <c r="G56">
        <v>14</v>
      </c>
      <c r="H56">
        <v>88</v>
      </c>
      <c r="I56">
        <v>1.76</v>
      </c>
      <c r="J56">
        <v>0</v>
      </c>
      <c r="K56">
        <v>4.3</v>
      </c>
      <c r="L56">
        <v>720852.5</v>
      </c>
      <c r="M56">
        <v>98565.62</v>
      </c>
    </row>
    <row r="57" spans="1:13">
      <c r="A57" s="2">
        <v>45748</v>
      </c>
      <c r="B57" t="s">
        <v>27</v>
      </c>
      <c r="C57" t="s">
        <v>18</v>
      </c>
      <c r="D57">
        <v>27808.6</v>
      </c>
      <c r="E57">
        <v>2863</v>
      </c>
      <c r="F57">
        <v>0.08</v>
      </c>
      <c r="G57">
        <v>13</v>
      </c>
      <c r="H57">
        <v>89.3</v>
      </c>
      <c r="I57">
        <v>0.47</v>
      </c>
      <c r="J57">
        <v>0</v>
      </c>
      <c r="K57">
        <v>4.0999999999999996</v>
      </c>
      <c r="L57">
        <v>487464.91</v>
      </c>
      <c r="M57">
        <v>64562.26</v>
      </c>
    </row>
    <row r="58" spans="1:13">
      <c r="A58" s="2">
        <v>45658</v>
      </c>
      <c r="B58" t="s">
        <v>15</v>
      </c>
      <c r="C58" t="s">
        <v>21</v>
      </c>
      <c r="D58">
        <v>19365.060000000001</v>
      </c>
      <c r="E58">
        <v>2378</v>
      </c>
      <c r="F58">
        <v>0</v>
      </c>
      <c r="G58">
        <v>12</v>
      </c>
      <c r="H58">
        <v>94.8</v>
      </c>
      <c r="I58">
        <v>0.2</v>
      </c>
      <c r="J58">
        <v>0</v>
      </c>
      <c r="K58">
        <v>3.5</v>
      </c>
      <c r="L58">
        <v>518049.26</v>
      </c>
      <c r="M58">
        <v>108592.49</v>
      </c>
    </row>
    <row r="59" spans="1:13">
      <c r="A59" s="2">
        <v>45689</v>
      </c>
      <c r="B59" t="s">
        <v>15</v>
      </c>
      <c r="C59" t="s">
        <v>21</v>
      </c>
      <c r="D59">
        <v>59405.68</v>
      </c>
      <c r="E59">
        <v>2515</v>
      </c>
      <c r="F59">
        <v>3.9E-2</v>
      </c>
      <c r="G59">
        <v>12</v>
      </c>
      <c r="H59">
        <v>76</v>
      </c>
      <c r="I59">
        <v>5.1100000000000003</v>
      </c>
      <c r="J59">
        <v>0</v>
      </c>
      <c r="K59">
        <v>3.7</v>
      </c>
      <c r="L59">
        <v>500298.48</v>
      </c>
      <c r="M59">
        <v>73461.320000000007</v>
      </c>
    </row>
    <row r="60" spans="1:13">
      <c r="A60" s="2">
        <v>45717</v>
      </c>
      <c r="B60" t="s">
        <v>15</v>
      </c>
      <c r="C60" t="s">
        <v>21</v>
      </c>
      <c r="D60">
        <v>118910.48</v>
      </c>
      <c r="E60">
        <v>4022</v>
      </c>
      <c r="F60">
        <v>0.13700000000000001</v>
      </c>
      <c r="G60">
        <v>11</v>
      </c>
      <c r="H60">
        <v>87.1</v>
      </c>
      <c r="I60">
        <v>0.2</v>
      </c>
      <c r="J60">
        <v>0</v>
      </c>
      <c r="K60">
        <v>3.1</v>
      </c>
      <c r="L60">
        <v>617291.15</v>
      </c>
      <c r="M60">
        <v>117782</v>
      </c>
    </row>
    <row r="61" spans="1:13">
      <c r="A61" s="2">
        <v>45748</v>
      </c>
      <c r="B61" t="s">
        <v>15</v>
      </c>
      <c r="C61" t="s">
        <v>21</v>
      </c>
      <c r="D61">
        <v>52952.12</v>
      </c>
      <c r="E61">
        <v>4377</v>
      </c>
      <c r="F61">
        <v>9.1999999999999998E-2</v>
      </c>
      <c r="G61">
        <v>14</v>
      </c>
      <c r="H61">
        <v>88.6</v>
      </c>
      <c r="I61">
        <v>13.59</v>
      </c>
      <c r="J61">
        <v>0</v>
      </c>
      <c r="K61">
        <v>3.1</v>
      </c>
      <c r="L61">
        <v>553756.43000000005</v>
      </c>
      <c r="M61">
        <v>86166.77</v>
      </c>
    </row>
    <row r="62" spans="1:13">
      <c r="A62" s="2">
        <v>45658</v>
      </c>
      <c r="B62" t="s">
        <v>24</v>
      </c>
      <c r="C62" t="s">
        <v>18</v>
      </c>
      <c r="D62">
        <v>74907.98</v>
      </c>
      <c r="E62">
        <v>5306</v>
      </c>
      <c r="F62">
        <v>6.2E-2</v>
      </c>
      <c r="G62">
        <v>16</v>
      </c>
      <c r="H62">
        <v>95.6</v>
      </c>
      <c r="I62">
        <v>1.02</v>
      </c>
      <c r="J62">
        <v>0</v>
      </c>
      <c r="K62">
        <v>3.7</v>
      </c>
      <c r="L62">
        <v>749559.71</v>
      </c>
      <c r="M62">
        <v>144522.53</v>
      </c>
    </row>
    <row r="63" spans="1:13">
      <c r="A63" s="2">
        <v>45689</v>
      </c>
      <c r="B63" t="s">
        <v>24</v>
      </c>
      <c r="C63" t="s">
        <v>18</v>
      </c>
      <c r="D63">
        <v>37284.660000000003</v>
      </c>
      <c r="E63">
        <v>3928</v>
      </c>
      <c r="F63">
        <v>7.3999999999999996E-2</v>
      </c>
      <c r="G63">
        <v>12</v>
      </c>
      <c r="H63">
        <v>86.5</v>
      </c>
      <c r="I63">
        <v>1.64</v>
      </c>
      <c r="J63">
        <v>0</v>
      </c>
      <c r="K63">
        <v>3.8</v>
      </c>
      <c r="L63">
        <v>615966.48</v>
      </c>
      <c r="M63">
        <v>91509.38</v>
      </c>
    </row>
    <row r="64" spans="1:13">
      <c r="A64" s="2">
        <v>45717</v>
      </c>
      <c r="B64" t="s">
        <v>24</v>
      </c>
      <c r="C64" t="s">
        <v>18</v>
      </c>
      <c r="D64">
        <v>50343.19</v>
      </c>
      <c r="E64">
        <v>3845</v>
      </c>
      <c r="F64">
        <v>0.113</v>
      </c>
      <c r="G64">
        <v>9</v>
      </c>
      <c r="H64">
        <v>88.7</v>
      </c>
      <c r="I64">
        <v>5.15</v>
      </c>
      <c r="J64">
        <v>0</v>
      </c>
      <c r="K64">
        <v>3.3</v>
      </c>
      <c r="L64">
        <v>572011.19999999995</v>
      </c>
      <c r="M64">
        <v>101409.68</v>
      </c>
    </row>
    <row r="65" spans="1:13">
      <c r="A65" s="2">
        <v>45748</v>
      </c>
      <c r="B65" t="s">
        <v>24</v>
      </c>
      <c r="C65" t="s">
        <v>18</v>
      </c>
      <c r="D65">
        <v>74954.47</v>
      </c>
      <c r="E65">
        <v>6620</v>
      </c>
      <c r="F65">
        <v>5.3999999999999999E-2</v>
      </c>
      <c r="G65">
        <v>17</v>
      </c>
      <c r="H65">
        <v>91.1</v>
      </c>
      <c r="I65">
        <v>1.1100000000000001</v>
      </c>
      <c r="J65">
        <v>0</v>
      </c>
      <c r="K65">
        <v>3.5</v>
      </c>
      <c r="L65">
        <v>761860.19</v>
      </c>
      <c r="M65">
        <v>133279.38</v>
      </c>
    </row>
    <row r="66" spans="1:13">
      <c r="A66" s="2">
        <v>45658</v>
      </c>
      <c r="B66" t="s">
        <v>27</v>
      </c>
      <c r="C66" t="s">
        <v>18</v>
      </c>
      <c r="D66">
        <v>70040.31</v>
      </c>
      <c r="E66">
        <v>9175</v>
      </c>
      <c r="F66">
        <v>0.107</v>
      </c>
      <c r="G66">
        <v>23</v>
      </c>
      <c r="H66">
        <v>95.1</v>
      </c>
      <c r="I66">
        <v>6.08</v>
      </c>
      <c r="J66">
        <v>1</v>
      </c>
      <c r="K66">
        <v>3.4</v>
      </c>
      <c r="L66">
        <v>784502.68</v>
      </c>
      <c r="M66">
        <v>129519.72</v>
      </c>
    </row>
    <row r="67" spans="1:13">
      <c r="A67" s="2">
        <v>45689</v>
      </c>
      <c r="B67" t="s">
        <v>27</v>
      </c>
      <c r="C67" t="s">
        <v>18</v>
      </c>
      <c r="D67">
        <v>51148.69</v>
      </c>
      <c r="E67">
        <v>7940</v>
      </c>
      <c r="F67">
        <v>0.156</v>
      </c>
      <c r="G67">
        <v>18</v>
      </c>
      <c r="H67">
        <v>93.3</v>
      </c>
      <c r="I67">
        <v>10.91</v>
      </c>
      <c r="J67">
        <v>0</v>
      </c>
      <c r="K67">
        <v>3.6</v>
      </c>
      <c r="L67">
        <v>717141.55</v>
      </c>
      <c r="M67">
        <v>134013.60999999999</v>
      </c>
    </row>
    <row r="68" spans="1:13">
      <c r="A68" s="2">
        <v>45717</v>
      </c>
      <c r="B68" t="s">
        <v>27</v>
      </c>
      <c r="C68" t="s">
        <v>18</v>
      </c>
      <c r="D68">
        <v>79346.100000000006</v>
      </c>
      <c r="E68">
        <v>9628</v>
      </c>
      <c r="F68">
        <v>0.10199999999999999</v>
      </c>
      <c r="G68">
        <v>20</v>
      </c>
      <c r="H68">
        <v>99</v>
      </c>
      <c r="I68">
        <v>19.010000000000002</v>
      </c>
      <c r="J68">
        <v>1</v>
      </c>
      <c r="K68">
        <v>3.2</v>
      </c>
      <c r="L68">
        <v>685379.08</v>
      </c>
      <c r="M68">
        <v>106898.82</v>
      </c>
    </row>
    <row r="69" spans="1:13">
      <c r="A69" s="2">
        <v>45748</v>
      </c>
      <c r="B69" t="s">
        <v>27</v>
      </c>
      <c r="C69" t="s">
        <v>18</v>
      </c>
      <c r="D69">
        <v>42018.400000000001</v>
      </c>
      <c r="E69">
        <v>8296</v>
      </c>
      <c r="F69">
        <v>0.115</v>
      </c>
      <c r="G69">
        <v>17</v>
      </c>
      <c r="H69">
        <v>91.8</v>
      </c>
      <c r="I69">
        <v>0.77</v>
      </c>
      <c r="J69">
        <v>0</v>
      </c>
      <c r="K69">
        <v>3.4</v>
      </c>
      <c r="L69">
        <v>740496.65</v>
      </c>
      <c r="M69">
        <v>128020.9</v>
      </c>
    </row>
    <row r="70" spans="1:13">
      <c r="A70" s="2">
        <v>45658</v>
      </c>
      <c r="B70" t="s">
        <v>15</v>
      </c>
      <c r="C70" t="s">
        <v>18</v>
      </c>
      <c r="D70">
        <v>70937.240000000005</v>
      </c>
      <c r="E70">
        <v>3595</v>
      </c>
      <c r="F70">
        <v>0.14099999999999999</v>
      </c>
      <c r="G70">
        <v>11</v>
      </c>
      <c r="H70">
        <v>88.9</v>
      </c>
      <c r="I70">
        <v>2.83</v>
      </c>
      <c r="J70">
        <v>1</v>
      </c>
      <c r="K70">
        <v>3.3</v>
      </c>
      <c r="L70">
        <v>661927.14</v>
      </c>
      <c r="M70">
        <v>79218.570000000007</v>
      </c>
    </row>
    <row r="71" spans="1:13">
      <c r="A71" s="2">
        <v>45689</v>
      </c>
      <c r="B71" t="s">
        <v>15</v>
      </c>
      <c r="C71" t="s">
        <v>18</v>
      </c>
      <c r="D71">
        <v>36813.449999999997</v>
      </c>
      <c r="E71">
        <v>2834</v>
      </c>
      <c r="F71">
        <v>0.191</v>
      </c>
      <c r="G71">
        <v>11</v>
      </c>
      <c r="H71">
        <v>81.8</v>
      </c>
      <c r="I71">
        <v>2.33</v>
      </c>
      <c r="J71">
        <v>0</v>
      </c>
      <c r="K71">
        <v>3.3</v>
      </c>
      <c r="L71">
        <v>479050.5</v>
      </c>
      <c r="M71">
        <v>53651.11</v>
      </c>
    </row>
    <row r="72" spans="1:13">
      <c r="A72" s="2">
        <v>45717</v>
      </c>
      <c r="B72" t="s">
        <v>15</v>
      </c>
      <c r="C72" t="s">
        <v>18</v>
      </c>
      <c r="D72">
        <v>60571.82</v>
      </c>
      <c r="E72">
        <v>3193</v>
      </c>
      <c r="F72">
        <v>0.19700000000000001</v>
      </c>
      <c r="G72">
        <v>7</v>
      </c>
      <c r="H72">
        <v>99</v>
      </c>
      <c r="I72">
        <v>1.43</v>
      </c>
      <c r="J72">
        <v>0</v>
      </c>
      <c r="K72">
        <v>3.2</v>
      </c>
      <c r="L72">
        <v>605023.87</v>
      </c>
      <c r="M72">
        <v>98545.81</v>
      </c>
    </row>
    <row r="73" spans="1:13">
      <c r="A73" s="2">
        <v>45748</v>
      </c>
      <c r="B73" t="s">
        <v>15</v>
      </c>
      <c r="C73" t="s">
        <v>18</v>
      </c>
      <c r="D73">
        <v>55081.16</v>
      </c>
      <c r="E73">
        <v>5485</v>
      </c>
      <c r="F73">
        <v>3.5999999999999997E-2</v>
      </c>
      <c r="G73">
        <v>12</v>
      </c>
      <c r="H73">
        <v>88</v>
      </c>
      <c r="J73">
        <v>0</v>
      </c>
      <c r="K73">
        <v>3.5</v>
      </c>
      <c r="L73">
        <v>674774.09</v>
      </c>
      <c r="M73">
        <v>141917.59</v>
      </c>
    </row>
    <row r="74" spans="1:13">
      <c r="A74" s="2">
        <v>45658</v>
      </c>
      <c r="B74" t="s">
        <v>15</v>
      </c>
      <c r="C74" t="s">
        <v>16</v>
      </c>
      <c r="D74">
        <v>46201.46</v>
      </c>
      <c r="E74">
        <v>5918</v>
      </c>
      <c r="F74">
        <v>0.27700000000000002</v>
      </c>
      <c r="G74">
        <v>13</v>
      </c>
      <c r="H74">
        <v>78.8</v>
      </c>
      <c r="I74">
        <v>4.91</v>
      </c>
      <c r="J74">
        <v>0</v>
      </c>
      <c r="K74">
        <v>4.5</v>
      </c>
      <c r="L74">
        <v>616069.41</v>
      </c>
      <c r="M74">
        <v>54453.99</v>
      </c>
    </row>
    <row r="75" spans="1:13">
      <c r="A75" s="2">
        <v>45689</v>
      </c>
      <c r="B75" t="s">
        <v>15</v>
      </c>
      <c r="C75" t="s">
        <v>16</v>
      </c>
      <c r="D75">
        <v>53762.92</v>
      </c>
      <c r="E75">
        <v>6821</v>
      </c>
      <c r="F75">
        <v>6.6000000000000003E-2</v>
      </c>
      <c r="G75">
        <v>19</v>
      </c>
      <c r="H75">
        <v>94.6</v>
      </c>
      <c r="I75">
        <v>7.03</v>
      </c>
      <c r="J75">
        <v>0</v>
      </c>
      <c r="K75">
        <v>4.4000000000000004</v>
      </c>
      <c r="L75">
        <v>630829.93999999994</v>
      </c>
      <c r="M75">
        <v>117090.02</v>
      </c>
    </row>
    <row r="76" spans="1:13">
      <c r="A76" s="2">
        <v>45717</v>
      </c>
      <c r="B76" t="s">
        <v>15</v>
      </c>
      <c r="C76" t="s">
        <v>16</v>
      </c>
      <c r="D76">
        <v>70144.78</v>
      </c>
      <c r="E76">
        <v>6806</v>
      </c>
      <c r="F76">
        <v>0.17799999999999999</v>
      </c>
      <c r="G76">
        <v>20</v>
      </c>
      <c r="H76">
        <v>93.1</v>
      </c>
      <c r="I76">
        <v>0.28000000000000003</v>
      </c>
      <c r="J76">
        <v>1</v>
      </c>
      <c r="K76">
        <v>4.3</v>
      </c>
      <c r="L76">
        <v>788087.68</v>
      </c>
      <c r="M76">
        <v>116803.42</v>
      </c>
    </row>
    <row r="77" spans="1:13">
      <c r="A77" s="2">
        <v>45748</v>
      </c>
      <c r="B77" t="s">
        <v>15</v>
      </c>
      <c r="C77" t="s">
        <v>16</v>
      </c>
      <c r="D77">
        <v>58749.63</v>
      </c>
      <c r="E77">
        <v>8252</v>
      </c>
      <c r="F77">
        <v>0.20300000000000001</v>
      </c>
      <c r="G77">
        <v>20</v>
      </c>
      <c r="H77">
        <v>85.2</v>
      </c>
      <c r="I77">
        <v>3.61</v>
      </c>
      <c r="J77">
        <v>0</v>
      </c>
      <c r="K77">
        <v>4.5</v>
      </c>
      <c r="L77">
        <v>680840.36</v>
      </c>
      <c r="M77">
        <v>68007.679999999993</v>
      </c>
    </row>
    <row r="78" spans="1:13">
      <c r="A78" s="2">
        <v>45658</v>
      </c>
      <c r="B78" t="s">
        <v>24</v>
      </c>
      <c r="C78" t="s">
        <v>18</v>
      </c>
      <c r="D78">
        <v>56973.18</v>
      </c>
      <c r="E78">
        <v>6662</v>
      </c>
      <c r="F78">
        <v>0.1</v>
      </c>
      <c r="G78">
        <v>15</v>
      </c>
      <c r="H78">
        <v>77.7</v>
      </c>
      <c r="I78">
        <v>7.52</v>
      </c>
      <c r="J78">
        <v>1</v>
      </c>
      <c r="K78">
        <v>3.2</v>
      </c>
      <c r="L78">
        <v>643657.47</v>
      </c>
      <c r="M78">
        <v>87022.45</v>
      </c>
    </row>
    <row r="79" spans="1:13">
      <c r="A79" s="2">
        <v>45689</v>
      </c>
      <c r="B79" t="s">
        <v>24</v>
      </c>
      <c r="C79" t="s">
        <v>18</v>
      </c>
      <c r="D79">
        <v>54872.82</v>
      </c>
      <c r="E79">
        <v>5962</v>
      </c>
      <c r="F79">
        <v>6.4000000000000001E-2</v>
      </c>
      <c r="G79">
        <v>12</v>
      </c>
      <c r="H79">
        <v>85.4</v>
      </c>
      <c r="I79">
        <v>2.58</v>
      </c>
      <c r="J79">
        <v>0</v>
      </c>
      <c r="K79">
        <v>2.9</v>
      </c>
      <c r="L79">
        <v>691112.6</v>
      </c>
      <c r="M79">
        <v>109212.83</v>
      </c>
    </row>
    <row r="80" spans="1:13">
      <c r="A80" s="2">
        <v>45717</v>
      </c>
      <c r="B80" t="s">
        <v>24</v>
      </c>
      <c r="C80" t="s">
        <v>18</v>
      </c>
      <c r="D80">
        <v>80562.81</v>
      </c>
      <c r="E80">
        <v>7470</v>
      </c>
      <c r="F80">
        <v>0.17199999999999999</v>
      </c>
      <c r="G80">
        <v>16</v>
      </c>
      <c r="H80">
        <v>83.5</v>
      </c>
      <c r="I80">
        <v>2.29</v>
      </c>
      <c r="J80">
        <v>0</v>
      </c>
      <c r="K80">
        <v>3.3</v>
      </c>
      <c r="L80">
        <v>776922.17</v>
      </c>
      <c r="M80">
        <v>150701.93</v>
      </c>
    </row>
    <row r="81" spans="1:13">
      <c r="A81" s="2">
        <v>45748</v>
      </c>
      <c r="B81" t="s">
        <v>24</v>
      </c>
      <c r="C81" t="s">
        <v>18</v>
      </c>
      <c r="D81">
        <v>77999.899999999994</v>
      </c>
      <c r="E81">
        <v>5974</v>
      </c>
      <c r="F81">
        <v>0.252</v>
      </c>
      <c r="G81">
        <v>14</v>
      </c>
      <c r="H81">
        <v>81.3</v>
      </c>
      <c r="I81">
        <v>2.39</v>
      </c>
      <c r="J81">
        <v>0</v>
      </c>
      <c r="K81">
        <v>3.2</v>
      </c>
      <c r="L81">
        <v>636561.34</v>
      </c>
      <c r="M81">
        <v>93861.06</v>
      </c>
    </row>
    <row r="82" spans="1:13">
      <c r="A82" s="2">
        <v>45658</v>
      </c>
      <c r="B82" t="s">
        <v>27</v>
      </c>
      <c r="C82" t="s">
        <v>28</v>
      </c>
      <c r="D82">
        <v>60881.01</v>
      </c>
      <c r="E82">
        <v>5410</v>
      </c>
      <c r="F82">
        <v>0.17899999999999999</v>
      </c>
      <c r="G82">
        <v>15</v>
      </c>
      <c r="H82">
        <v>83.9</v>
      </c>
      <c r="I82">
        <v>5.24</v>
      </c>
      <c r="J82">
        <v>0</v>
      </c>
      <c r="K82">
        <v>4.5999999999999996</v>
      </c>
      <c r="L82">
        <v>621369.57999999996</v>
      </c>
      <c r="M82">
        <v>85493.64</v>
      </c>
    </row>
    <row r="83" spans="1:13">
      <c r="A83" s="2">
        <v>45689</v>
      </c>
      <c r="B83" t="s">
        <v>27</v>
      </c>
      <c r="C83" t="s">
        <v>28</v>
      </c>
      <c r="D83">
        <v>60628.38</v>
      </c>
      <c r="E83">
        <v>4451</v>
      </c>
      <c r="F83">
        <v>9.5000000000000001E-2</v>
      </c>
      <c r="G83">
        <v>10</v>
      </c>
      <c r="H83">
        <v>89.6</v>
      </c>
      <c r="I83">
        <v>3.17</v>
      </c>
      <c r="J83">
        <v>0</v>
      </c>
      <c r="K83">
        <v>4.5999999999999996</v>
      </c>
      <c r="L83">
        <v>682208.01</v>
      </c>
      <c r="M83">
        <v>110318.84</v>
      </c>
    </row>
    <row r="84" spans="1:13">
      <c r="A84" s="2">
        <v>45717</v>
      </c>
      <c r="B84" t="s">
        <v>27</v>
      </c>
      <c r="C84" t="s">
        <v>28</v>
      </c>
      <c r="D84">
        <v>72731.14</v>
      </c>
      <c r="E84">
        <v>4644</v>
      </c>
      <c r="F84">
        <v>8.4000000000000005E-2</v>
      </c>
      <c r="G84">
        <v>15</v>
      </c>
      <c r="H84">
        <v>87.1</v>
      </c>
      <c r="I84">
        <v>2.66</v>
      </c>
      <c r="J84">
        <v>0</v>
      </c>
      <c r="K84">
        <v>4.5999999999999996</v>
      </c>
      <c r="L84">
        <v>727241.86</v>
      </c>
      <c r="M84">
        <v>155810.29999999999</v>
      </c>
    </row>
    <row r="85" spans="1:13">
      <c r="A85" s="2">
        <v>45748</v>
      </c>
      <c r="B85" t="s">
        <v>27</v>
      </c>
      <c r="C85" t="s">
        <v>28</v>
      </c>
      <c r="D85">
        <v>36475.71</v>
      </c>
      <c r="E85">
        <v>3559</v>
      </c>
      <c r="F85">
        <v>0.03</v>
      </c>
      <c r="G85">
        <v>8</v>
      </c>
      <c r="H85">
        <v>83.6</v>
      </c>
      <c r="I85">
        <v>1.41</v>
      </c>
      <c r="J85">
        <v>0</v>
      </c>
      <c r="K85">
        <v>4.2</v>
      </c>
      <c r="L85">
        <v>569100.78</v>
      </c>
      <c r="M85">
        <v>104808.78</v>
      </c>
    </row>
    <row r="86" spans="1:13">
      <c r="A86" s="2">
        <v>45658</v>
      </c>
      <c r="B86" t="s">
        <v>27</v>
      </c>
      <c r="C86" t="s">
        <v>18</v>
      </c>
      <c r="D86">
        <v>55388.11</v>
      </c>
      <c r="E86">
        <v>3091</v>
      </c>
      <c r="F86">
        <v>0.108</v>
      </c>
      <c r="G86">
        <v>7</v>
      </c>
      <c r="H86">
        <v>85.4</v>
      </c>
      <c r="I86">
        <v>7.34</v>
      </c>
      <c r="J86">
        <v>0</v>
      </c>
      <c r="K86">
        <v>4.9000000000000004</v>
      </c>
      <c r="L86">
        <v>574436.29</v>
      </c>
      <c r="M86">
        <v>80271.990000000005</v>
      </c>
    </row>
    <row r="87" spans="1:13">
      <c r="A87" s="2">
        <v>45689</v>
      </c>
      <c r="B87" t="s">
        <v>27</v>
      </c>
      <c r="C87" t="s">
        <v>18</v>
      </c>
      <c r="D87">
        <v>88443.77</v>
      </c>
      <c r="E87">
        <v>4004</v>
      </c>
      <c r="F87">
        <v>0.20599999999999999</v>
      </c>
      <c r="G87">
        <v>11</v>
      </c>
      <c r="H87">
        <v>91.9</v>
      </c>
      <c r="I87">
        <v>5.95</v>
      </c>
      <c r="J87">
        <v>0</v>
      </c>
      <c r="L87">
        <v>611766.72</v>
      </c>
      <c r="M87">
        <v>88275.61</v>
      </c>
    </row>
    <row r="88" spans="1:13">
      <c r="A88" s="2">
        <v>45717</v>
      </c>
      <c r="B88" t="s">
        <v>27</v>
      </c>
      <c r="C88" t="s">
        <v>18</v>
      </c>
      <c r="D88">
        <v>78231.91</v>
      </c>
      <c r="E88">
        <v>3788</v>
      </c>
      <c r="F88">
        <v>5.8999999999999997E-2</v>
      </c>
      <c r="G88">
        <v>11</v>
      </c>
      <c r="H88">
        <v>88.5</v>
      </c>
      <c r="I88">
        <v>15.51</v>
      </c>
      <c r="J88">
        <v>0</v>
      </c>
      <c r="K88">
        <v>4.3</v>
      </c>
      <c r="L88">
        <v>614596.31999999995</v>
      </c>
      <c r="M88">
        <v>131199.41</v>
      </c>
    </row>
    <row r="89" spans="1:13">
      <c r="A89" s="2">
        <v>45748</v>
      </c>
      <c r="B89" t="s">
        <v>27</v>
      </c>
      <c r="C89" t="s">
        <v>18</v>
      </c>
      <c r="D89">
        <v>18996.32</v>
      </c>
      <c r="E89">
        <v>1260</v>
      </c>
      <c r="F89">
        <v>0.14499999999999999</v>
      </c>
      <c r="G89">
        <v>9</v>
      </c>
      <c r="H89">
        <v>86.4</v>
      </c>
      <c r="I89">
        <v>4.3099999999999996</v>
      </c>
      <c r="J89">
        <v>0</v>
      </c>
      <c r="K89">
        <v>4.5999999999999996</v>
      </c>
      <c r="L89">
        <v>450711.92</v>
      </c>
      <c r="M89">
        <v>90043.76</v>
      </c>
    </row>
    <row r="90" spans="1:13">
      <c r="A90" s="2">
        <v>45658</v>
      </c>
      <c r="B90" t="s">
        <v>24</v>
      </c>
      <c r="C90" t="s">
        <v>28</v>
      </c>
      <c r="D90">
        <v>50517.94</v>
      </c>
      <c r="E90">
        <v>7024</v>
      </c>
      <c r="F90">
        <v>2.9000000000000001E-2</v>
      </c>
      <c r="G90">
        <v>18</v>
      </c>
      <c r="H90">
        <v>79.2</v>
      </c>
      <c r="I90">
        <v>6.61</v>
      </c>
      <c r="J90">
        <v>1</v>
      </c>
      <c r="K90">
        <v>4.0999999999999996</v>
      </c>
      <c r="L90">
        <v>711213.46</v>
      </c>
      <c r="M90">
        <v>105863.26</v>
      </c>
    </row>
    <row r="91" spans="1:13">
      <c r="A91" s="2">
        <v>45689</v>
      </c>
      <c r="B91" t="s">
        <v>24</v>
      </c>
      <c r="C91" t="s">
        <v>28</v>
      </c>
      <c r="D91">
        <v>141540.29</v>
      </c>
      <c r="E91">
        <v>5400</v>
      </c>
      <c r="F91">
        <v>1.2999999999999999E-2</v>
      </c>
      <c r="G91">
        <v>12</v>
      </c>
      <c r="H91">
        <v>87</v>
      </c>
      <c r="I91">
        <v>4.26</v>
      </c>
      <c r="J91">
        <v>0</v>
      </c>
      <c r="K91">
        <v>4.5</v>
      </c>
      <c r="L91">
        <v>627171.9</v>
      </c>
      <c r="M91">
        <v>105772.75</v>
      </c>
    </row>
    <row r="92" spans="1:13">
      <c r="A92" s="2">
        <v>45717</v>
      </c>
      <c r="B92" t="s">
        <v>24</v>
      </c>
      <c r="C92" t="s">
        <v>28</v>
      </c>
      <c r="D92">
        <v>82116.19</v>
      </c>
      <c r="E92">
        <v>5988</v>
      </c>
      <c r="F92">
        <v>0.04</v>
      </c>
      <c r="G92">
        <v>17</v>
      </c>
      <c r="H92">
        <v>91.8</v>
      </c>
      <c r="I92">
        <v>5.75</v>
      </c>
      <c r="J92">
        <v>0</v>
      </c>
      <c r="K92">
        <v>4.7</v>
      </c>
      <c r="L92">
        <v>739852.58</v>
      </c>
      <c r="M92">
        <v>129386.43</v>
      </c>
    </row>
    <row r="93" spans="1:13">
      <c r="A93" s="2">
        <v>45748</v>
      </c>
      <c r="B93" t="s">
        <v>24</v>
      </c>
      <c r="C93" t="s">
        <v>28</v>
      </c>
      <c r="D93">
        <v>31207.51</v>
      </c>
      <c r="E93">
        <v>3701</v>
      </c>
      <c r="F93">
        <v>4.2999999999999997E-2</v>
      </c>
      <c r="G93">
        <v>11</v>
      </c>
      <c r="H93">
        <v>84.7</v>
      </c>
      <c r="I93">
        <v>0.33</v>
      </c>
      <c r="J93">
        <v>0</v>
      </c>
      <c r="K93">
        <v>4.3</v>
      </c>
      <c r="L93">
        <v>586307.22</v>
      </c>
      <c r="M93">
        <v>73927.850000000006</v>
      </c>
    </row>
    <row r="94" spans="1:13">
      <c r="A94" s="2">
        <v>45658</v>
      </c>
      <c r="B94" t="s">
        <v>27</v>
      </c>
      <c r="C94" t="s">
        <v>16</v>
      </c>
      <c r="D94">
        <v>38966.589999999997</v>
      </c>
      <c r="E94">
        <v>4509</v>
      </c>
      <c r="F94">
        <v>0.19400000000000001</v>
      </c>
      <c r="G94">
        <v>14</v>
      </c>
      <c r="H94">
        <v>91.1</v>
      </c>
      <c r="I94">
        <v>2.92</v>
      </c>
      <c r="J94">
        <v>0</v>
      </c>
      <c r="K94">
        <v>4.5999999999999996</v>
      </c>
      <c r="L94">
        <v>585937.48</v>
      </c>
      <c r="M94">
        <v>82624.2</v>
      </c>
    </row>
    <row r="95" spans="1:13">
      <c r="A95" s="2">
        <v>45689</v>
      </c>
      <c r="B95" t="s">
        <v>27</v>
      </c>
      <c r="C95" t="s">
        <v>16</v>
      </c>
      <c r="D95">
        <v>67439.3</v>
      </c>
      <c r="E95">
        <v>6477</v>
      </c>
      <c r="F95">
        <v>0</v>
      </c>
      <c r="G95">
        <v>16</v>
      </c>
      <c r="H95">
        <v>90.9</v>
      </c>
      <c r="I95">
        <v>1.64</v>
      </c>
      <c r="J95">
        <v>0</v>
      </c>
      <c r="K95">
        <v>4.5</v>
      </c>
      <c r="L95">
        <v>753473.55</v>
      </c>
      <c r="M95">
        <v>151527.22</v>
      </c>
    </row>
    <row r="96" spans="1:13">
      <c r="A96" s="2">
        <v>45717</v>
      </c>
      <c r="B96" t="s">
        <v>27</v>
      </c>
      <c r="C96" t="s">
        <v>16</v>
      </c>
      <c r="D96">
        <v>86421.88</v>
      </c>
      <c r="E96">
        <v>7970</v>
      </c>
      <c r="F96">
        <v>7.2999999999999995E-2</v>
      </c>
      <c r="G96">
        <v>17</v>
      </c>
      <c r="H96">
        <v>91.3</v>
      </c>
      <c r="I96">
        <v>0.8</v>
      </c>
      <c r="J96">
        <v>0</v>
      </c>
      <c r="K96">
        <v>5</v>
      </c>
      <c r="L96">
        <v>838250.32</v>
      </c>
      <c r="M96">
        <v>122939.34</v>
      </c>
    </row>
    <row r="97" spans="1:13">
      <c r="A97" s="2">
        <v>45748</v>
      </c>
      <c r="B97" t="s">
        <v>27</v>
      </c>
      <c r="C97" t="s">
        <v>16</v>
      </c>
      <c r="D97">
        <v>9534.65</v>
      </c>
      <c r="E97">
        <v>6057</v>
      </c>
      <c r="F97">
        <v>7.3999999999999996E-2</v>
      </c>
      <c r="G97">
        <v>15</v>
      </c>
      <c r="H97">
        <v>94.1</v>
      </c>
      <c r="I97">
        <v>5.79</v>
      </c>
      <c r="J97">
        <v>0</v>
      </c>
      <c r="K97">
        <v>4.5</v>
      </c>
      <c r="L97">
        <v>607898.12</v>
      </c>
      <c r="M97">
        <v>135404.85</v>
      </c>
    </row>
    <row r="98" spans="1:13">
      <c r="A98" s="2">
        <v>45658</v>
      </c>
      <c r="B98" t="s">
        <v>27</v>
      </c>
      <c r="C98" t="s">
        <v>28</v>
      </c>
      <c r="D98">
        <v>61132.07</v>
      </c>
      <c r="E98">
        <v>6394</v>
      </c>
      <c r="F98">
        <v>0.16300000000000001</v>
      </c>
      <c r="G98">
        <v>19</v>
      </c>
      <c r="H98">
        <v>91</v>
      </c>
      <c r="I98">
        <v>19.600000000000001</v>
      </c>
      <c r="J98">
        <v>0</v>
      </c>
      <c r="K98">
        <v>4.4000000000000004</v>
      </c>
      <c r="L98">
        <v>691113.62</v>
      </c>
      <c r="M98">
        <v>135145.44</v>
      </c>
    </row>
    <row r="99" spans="1:13">
      <c r="A99" s="2">
        <v>45689</v>
      </c>
      <c r="B99" t="s">
        <v>27</v>
      </c>
      <c r="C99" t="s">
        <v>28</v>
      </c>
      <c r="D99">
        <v>78839.39</v>
      </c>
      <c r="E99">
        <v>5150</v>
      </c>
      <c r="F99">
        <v>0.17100000000000001</v>
      </c>
      <c r="G99">
        <v>13</v>
      </c>
      <c r="H99">
        <v>85.8</v>
      </c>
      <c r="I99">
        <v>7.57</v>
      </c>
      <c r="J99">
        <v>0</v>
      </c>
      <c r="K99">
        <v>4.3</v>
      </c>
      <c r="L99">
        <v>735509.4</v>
      </c>
      <c r="M99">
        <v>83895.96</v>
      </c>
    </row>
    <row r="100" spans="1:13">
      <c r="A100" s="2">
        <v>45717</v>
      </c>
      <c r="B100" t="s">
        <v>27</v>
      </c>
      <c r="C100" t="s">
        <v>28</v>
      </c>
      <c r="D100">
        <v>38752.800000000003</v>
      </c>
      <c r="E100">
        <v>4712</v>
      </c>
      <c r="F100">
        <v>7.4999999999999997E-2</v>
      </c>
      <c r="G100">
        <v>15</v>
      </c>
      <c r="H100">
        <v>89.7</v>
      </c>
      <c r="J100">
        <v>0</v>
      </c>
      <c r="K100">
        <v>4.3</v>
      </c>
      <c r="L100">
        <v>605775.32999999996</v>
      </c>
      <c r="M100">
        <v>107194.6</v>
      </c>
    </row>
    <row r="101" spans="1:13">
      <c r="A101" s="2">
        <v>45748</v>
      </c>
      <c r="B101" t="s">
        <v>27</v>
      </c>
      <c r="C101" t="s">
        <v>28</v>
      </c>
      <c r="D101">
        <v>55101.1</v>
      </c>
      <c r="E101">
        <v>5281</v>
      </c>
      <c r="F101">
        <v>0.189</v>
      </c>
      <c r="G101">
        <v>11</v>
      </c>
      <c r="H101">
        <v>91</v>
      </c>
      <c r="I101">
        <v>2.7</v>
      </c>
      <c r="J101">
        <v>0</v>
      </c>
      <c r="K101">
        <v>4.4000000000000004</v>
      </c>
      <c r="L101">
        <v>675177.68</v>
      </c>
      <c r="M101">
        <v>105628.68</v>
      </c>
    </row>
    <row r="102" spans="1:13">
      <c r="A102" s="2">
        <v>45658</v>
      </c>
      <c r="B102" t="s">
        <v>15</v>
      </c>
      <c r="C102" t="s">
        <v>28</v>
      </c>
      <c r="D102">
        <v>53084.76</v>
      </c>
      <c r="E102">
        <v>3642</v>
      </c>
      <c r="F102">
        <v>0.15</v>
      </c>
      <c r="G102">
        <v>12</v>
      </c>
      <c r="H102">
        <v>91.4</v>
      </c>
      <c r="I102">
        <v>0.2</v>
      </c>
      <c r="J102">
        <v>0</v>
      </c>
      <c r="K102">
        <v>4.4000000000000004</v>
      </c>
      <c r="L102">
        <v>635181.35</v>
      </c>
      <c r="M102">
        <v>83341.25</v>
      </c>
    </row>
    <row r="103" spans="1:13">
      <c r="A103" s="2">
        <v>45689</v>
      </c>
      <c r="B103" t="s">
        <v>15</v>
      </c>
      <c r="C103" t="s">
        <v>28</v>
      </c>
      <c r="D103">
        <v>63101.59</v>
      </c>
      <c r="E103">
        <v>4373</v>
      </c>
      <c r="F103">
        <v>0.17299999999999999</v>
      </c>
      <c r="G103">
        <v>14</v>
      </c>
      <c r="H103">
        <v>90.4</v>
      </c>
      <c r="I103">
        <v>7.87</v>
      </c>
      <c r="J103">
        <v>0</v>
      </c>
      <c r="K103">
        <v>4.7</v>
      </c>
      <c r="L103">
        <v>586626.93999999994</v>
      </c>
      <c r="M103">
        <v>86498.55</v>
      </c>
    </row>
    <row r="104" spans="1:13">
      <c r="A104" s="2">
        <v>45717</v>
      </c>
      <c r="B104" t="s">
        <v>15</v>
      </c>
      <c r="C104" t="s">
        <v>28</v>
      </c>
      <c r="D104">
        <v>90084.4</v>
      </c>
      <c r="E104">
        <v>6832</v>
      </c>
      <c r="F104">
        <v>0.185</v>
      </c>
      <c r="G104">
        <v>14</v>
      </c>
      <c r="H104">
        <v>80.5</v>
      </c>
      <c r="I104">
        <v>0.77</v>
      </c>
      <c r="J104">
        <v>1</v>
      </c>
      <c r="K104">
        <v>4.4000000000000004</v>
      </c>
      <c r="L104">
        <v>740102.64</v>
      </c>
      <c r="M104">
        <v>114299.07</v>
      </c>
    </row>
    <row r="105" spans="1:13">
      <c r="A105" s="2">
        <v>45748</v>
      </c>
      <c r="B105" t="s">
        <v>15</v>
      </c>
      <c r="C105" t="s">
        <v>28</v>
      </c>
      <c r="D105">
        <v>32266.639999999999</v>
      </c>
      <c r="E105">
        <v>2414</v>
      </c>
      <c r="F105">
        <v>0.08</v>
      </c>
      <c r="G105">
        <v>7</v>
      </c>
      <c r="H105">
        <v>92.1</v>
      </c>
      <c r="I105">
        <v>1.48</v>
      </c>
      <c r="J105">
        <v>0</v>
      </c>
      <c r="K105">
        <v>5</v>
      </c>
      <c r="L105">
        <v>625514.04</v>
      </c>
      <c r="M105">
        <v>120685.08</v>
      </c>
    </row>
    <row r="106" spans="1:13">
      <c r="A106" s="2">
        <v>45658</v>
      </c>
      <c r="B106" t="s">
        <v>27</v>
      </c>
      <c r="C106" t="s">
        <v>18</v>
      </c>
      <c r="D106">
        <v>57919.07</v>
      </c>
      <c r="E106">
        <v>7374</v>
      </c>
      <c r="F106">
        <v>0.10299999999999999</v>
      </c>
      <c r="G106">
        <v>21</v>
      </c>
      <c r="H106">
        <v>82.3</v>
      </c>
      <c r="I106">
        <v>2.87</v>
      </c>
      <c r="J106">
        <v>0</v>
      </c>
      <c r="K106">
        <v>2.9</v>
      </c>
      <c r="L106">
        <v>727227.2</v>
      </c>
      <c r="M106">
        <v>121292.01</v>
      </c>
    </row>
    <row r="107" spans="1:13">
      <c r="A107" s="2">
        <v>45689</v>
      </c>
      <c r="B107" t="s">
        <v>27</v>
      </c>
      <c r="C107" t="s">
        <v>18</v>
      </c>
      <c r="D107">
        <v>74679.350000000006</v>
      </c>
      <c r="E107">
        <v>8739</v>
      </c>
      <c r="F107">
        <v>5.6000000000000001E-2</v>
      </c>
      <c r="G107">
        <v>21</v>
      </c>
      <c r="H107">
        <v>91.8</v>
      </c>
      <c r="I107">
        <v>2.83</v>
      </c>
      <c r="J107">
        <v>0</v>
      </c>
      <c r="K107">
        <v>3</v>
      </c>
      <c r="L107">
        <v>783797.89</v>
      </c>
      <c r="M107">
        <v>157620.70000000001</v>
      </c>
    </row>
    <row r="108" spans="1:13">
      <c r="A108" s="2">
        <v>45717</v>
      </c>
      <c r="B108" t="s">
        <v>27</v>
      </c>
      <c r="C108" t="s">
        <v>18</v>
      </c>
      <c r="D108">
        <v>64294.23</v>
      </c>
      <c r="E108">
        <v>6992</v>
      </c>
      <c r="F108">
        <v>0.13300000000000001</v>
      </c>
      <c r="G108">
        <v>14</v>
      </c>
      <c r="H108">
        <v>94.1</v>
      </c>
      <c r="I108">
        <v>0.25</v>
      </c>
      <c r="J108">
        <v>0</v>
      </c>
      <c r="K108">
        <v>3</v>
      </c>
      <c r="L108">
        <v>795153.84</v>
      </c>
      <c r="M108">
        <v>143194.21</v>
      </c>
    </row>
    <row r="109" spans="1:13">
      <c r="A109" s="2">
        <v>45748</v>
      </c>
      <c r="B109" t="s">
        <v>27</v>
      </c>
      <c r="C109" t="s">
        <v>18</v>
      </c>
      <c r="D109">
        <v>31042.03</v>
      </c>
      <c r="E109">
        <v>7107</v>
      </c>
      <c r="F109">
        <v>5.0999999999999997E-2</v>
      </c>
      <c r="G109">
        <v>15</v>
      </c>
      <c r="H109">
        <v>87</v>
      </c>
      <c r="I109">
        <v>13.33</v>
      </c>
      <c r="J109">
        <v>0</v>
      </c>
      <c r="K109">
        <v>3.2</v>
      </c>
      <c r="L109">
        <v>665594.93999999994</v>
      </c>
      <c r="M109">
        <v>127597.34</v>
      </c>
    </row>
    <row r="110" spans="1:13">
      <c r="A110" s="2">
        <v>45658</v>
      </c>
      <c r="B110" t="s">
        <v>15</v>
      </c>
      <c r="C110" t="s">
        <v>28</v>
      </c>
      <c r="D110">
        <v>75265.02</v>
      </c>
      <c r="E110">
        <v>6975</v>
      </c>
      <c r="F110">
        <v>0.157</v>
      </c>
      <c r="G110">
        <v>20</v>
      </c>
      <c r="H110">
        <v>73.8</v>
      </c>
      <c r="I110">
        <v>6.35</v>
      </c>
      <c r="J110">
        <v>1</v>
      </c>
      <c r="K110">
        <v>3.8</v>
      </c>
      <c r="L110">
        <v>709478.39</v>
      </c>
      <c r="M110">
        <v>71294.27</v>
      </c>
    </row>
    <row r="111" spans="1:13">
      <c r="A111" s="2">
        <v>45689</v>
      </c>
      <c r="B111" t="s">
        <v>15</v>
      </c>
      <c r="C111" t="s">
        <v>28</v>
      </c>
      <c r="D111">
        <v>69411.7</v>
      </c>
      <c r="E111">
        <v>5493</v>
      </c>
      <c r="F111">
        <v>0.29199999999999998</v>
      </c>
      <c r="G111">
        <v>13</v>
      </c>
      <c r="H111">
        <v>86.5</v>
      </c>
      <c r="I111">
        <v>6.69</v>
      </c>
      <c r="J111">
        <v>0</v>
      </c>
      <c r="K111">
        <v>3.8</v>
      </c>
      <c r="L111">
        <v>664162.49</v>
      </c>
      <c r="M111">
        <v>98291.06</v>
      </c>
    </row>
    <row r="112" spans="1:13">
      <c r="A112" s="2">
        <v>45717</v>
      </c>
      <c r="B112" t="s">
        <v>15</v>
      </c>
      <c r="C112" t="s">
        <v>28</v>
      </c>
      <c r="D112">
        <v>51056.15</v>
      </c>
      <c r="E112">
        <v>5686</v>
      </c>
      <c r="F112">
        <v>8.8999999999999996E-2</v>
      </c>
      <c r="G112">
        <v>13</v>
      </c>
      <c r="H112">
        <v>89.9</v>
      </c>
      <c r="I112">
        <v>1.28</v>
      </c>
      <c r="J112">
        <v>0</v>
      </c>
      <c r="K112">
        <v>4.2</v>
      </c>
      <c r="L112">
        <v>633494.21</v>
      </c>
      <c r="M112">
        <v>105739.47</v>
      </c>
    </row>
    <row r="113" spans="1:13">
      <c r="A113" s="2">
        <v>45748</v>
      </c>
      <c r="B113" t="s">
        <v>15</v>
      </c>
      <c r="C113" t="s">
        <v>28</v>
      </c>
      <c r="D113">
        <v>52758.01</v>
      </c>
      <c r="E113">
        <v>4063</v>
      </c>
      <c r="F113">
        <v>5.7000000000000002E-2</v>
      </c>
      <c r="G113">
        <v>12</v>
      </c>
      <c r="H113">
        <v>91.7</v>
      </c>
      <c r="I113">
        <v>0.92</v>
      </c>
      <c r="J113">
        <v>0</v>
      </c>
      <c r="K113">
        <v>3.5</v>
      </c>
      <c r="L113">
        <v>713611.16</v>
      </c>
      <c r="M113">
        <v>129717.18</v>
      </c>
    </row>
    <row r="114" spans="1:13">
      <c r="A114" s="2">
        <v>45658</v>
      </c>
      <c r="B114" t="s">
        <v>27</v>
      </c>
      <c r="C114" t="s">
        <v>28</v>
      </c>
      <c r="D114">
        <v>61426.04</v>
      </c>
      <c r="E114">
        <v>8966</v>
      </c>
      <c r="F114">
        <v>0.17299999999999999</v>
      </c>
      <c r="G114">
        <v>22</v>
      </c>
      <c r="H114">
        <v>76.400000000000006</v>
      </c>
      <c r="I114">
        <v>1.05</v>
      </c>
      <c r="J114">
        <v>0</v>
      </c>
      <c r="K114">
        <v>3.1</v>
      </c>
      <c r="L114">
        <v>778397.97</v>
      </c>
      <c r="M114">
        <v>120044.41</v>
      </c>
    </row>
    <row r="115" spans="1:13">
      <c r="A115" s="2">
        <v>45689</v>
      </c>
      <c r="B115" t="s">
        <v>27</v>
      </c>
      <c r="C115" t="s">
        <v>28</v>
      </c>
      <c r="D115">
        <v>80176.34</v>
      </c>
      <c r="E115">
        <v>9489</v>
      </c>
      <c r="F115">
        <v>0.14199999999999999</v>
      </c>
      <c r="G115">
        <v>22</v>
      </c>
      <c r="H115">
        <v>94.3</v>
      </c>
      <c r="I115">
        <v>2.67</v>
      </c>
      <c r="J115">
        <v>0</v>
      </c>
      <c r="K115">
        <v>3.5</v>
      </c>
      <c r="L115">
        <v>873380.02</v>
      </c>
      <c r="M115">
        <v>149734.76</v>
      </c>
    </row>
    <row r="116" spans="1:13">
      <c r="A116" s="2">
        <v>45717</v>
      </c>
      <c r="B116" t="s">
        <v>27</v>
      </c>
      <c r="C116" t="s">
        <v>28</v>
      </c>
      <c r="D116">
        <v>33605.18</v>
      </c>
      <c r="E116">
        <v>9225</v>
      </c>
      <c r="F116">
        <v>0.159</v>
      </c>
      <c r="G116">
        <v>23</v>
      </c>
      <c r="H116">
        <v>88.4</v>
      </c>
      <c r="I116">
        <v>5.91</v>
      </c>
      <c r="J116">
        <v>0</v>
      </c>
      <c r="K116">
        <v>2.8</v>
      </c>
      <c r="L116">
        <v>697287.9</v>
      </c>
      <c r="M116">
        <v>128208.33</v>
      </c>
    </row>
    <row r="117" spans="1:13">
      <c r="A117" s="2">
        <v>45748</v>
      </c>
      <c r="B117" t="s">
        <v>27</v>
      </c>
      <c r="C117" t="s">
        <v>28</v>
      </c>
      <c r="D117">
        <v>25990.54</v>
      </c>
      <c r="E117">
        <v>9249</v>
      </c>
      <c r="F117">
        <v>0.13900000000000001</v>
      </c>
      <c r="G117">
        <v>23</v>
      </c>
      <c r="H117">
        <v>92.5</v>
      </c>
      <c r="I117">
        <v>6.37</v>
      </c>
      <c r="J117">
        <v>0</v>
      </c>
      <c r="K117">
        <v>3.3</v>
      </c>
      <c r="L117">
        <v>718074.79</v>
      </c>
      <c r="M117">
        <v>115819.87</v>
      </c>
    </row>
    <row r="118" spans="1:13">
      <c r="A118" s="2">
        <v>45658</v>
      </c>
      <c r="B118" t="s">
        <v>27</v>
      </c>
      <c r="C118" t="s">
        <v>16</v>
      </c>
      <c r="D118">
        <v>43685.14</v>
      </c>
      <c r="E118">
        <v>7821</v>
      </c>
      <c r="F118">
        <v>0.19</v>
      </c>
      <c r="G118">
        <v>17</v>
      </c>
      <c r="H118">
        <v>91</v>
      </c>
      <c r="I118">
        <v>2.4900000000000002</v>
      </c>
      <c r="J118">
        <v>1</v>
      </c>
      <c r="K118">
        <v>4.7</v>
      </c>
      <c r="L118">
        <v>714942.43</v>
      </c>
      <c r="M118">
        <v>94697.71</v>
      </c>
    </row>
    <row r="119" spans="1:13">
      <c r="A119" s="2">
        <v>45689</v>
      </c>
      <c r="B119" t="s">
        <v>27</v>
      </c>
      <c r="C119" t="s">
        <v>16</v>
      </c>
      <c r="D119">
        <v>57360.01</v>
      </c>
      <c r="E119">
        <v>8434</v>
      </c>
      <c r="F119">
        <v>0.151</v>
      </c>
      <c r="G119">
        <v>19</v>
      </c>
      <c r="H119">
        <v>84.1</v>
      </c>
      <c r="I119">
        <v>1.56</v>
      </c>
      <c r="J119">
        <v>0</v>
      </c>
      <c r="K119">
        <v>4.7</v>
      </c>
      <c r="L119">
        <v>820519.04</v>
      </c>
      <c r="M119">
        <v>99035.88</v>
      </c>
    </row>
    <row r="120" spans="1:13">
      <c r="A120" s="2">
        <v>45717</v>
      </c>
      <c r="B120" t="s">
        <v>27</v>
      </c>
      <c r="C120" t="s">
        <v>16</v>
      </c>
      <c r="D120">
        <v>42415.47</v>
      </c>
      <c r="E120">
        <v>8512</v>
      </c>
      <c r="F120">
        <v>0.13300000000000001</v>
      </c>
      <c r="G120">
        <v>18</v>
      </c>
      <c r="H120">
        <v>96.8</v>
      </c>
      <c r="I120">
        <v>14.95</v>
      </c>
      <c r="J120">
        <v>0</v>
      </c>
      <c r="K120">
        <v>4.5999999999999996</v>
      </c>
      <c r="L120">
        <v>684217.32</v>
      </c>
      <c r="M120">
        <v>136217.19</v>
      </c>
    </row>
    <row r="121" spans="1:13">
      <c r="A121" s="2">
        <v>45748</v>
      </c>
      <c r="B121" t="s">
        <v>27</v>
      </c>
      <c r="C121" t="s">
        <v>16</v>
      </c>
      <c r="D121">
        <v>54968.98</v>
      </c>
      <c r="E121">
        <v>7816</v>
      </c>
      <c r="F121">
        <v>0.23200000000000001</v>
      </c>
      <c r="G121">
        <v>19</v>
      </c>
      <c r="H121">
        <v>95.7</v>
      </c>
      <c r="I121">
        <v>7.85</v>
      </c>
      <c r="J121">
        <v>0</v>
      </c>
      <c r="K121">
        <v>4.7</v>
      </c>
      <c r="L121">
        <v>735480.19</v>
      </c>
      <c r="M121">
        <v>88342.11</v>
      </c>
    </row>
    <row r="122" spans="1:13">
      <c r="A122" s="2">
        <v>45658</v>
      </c>
      <c r="B122" t="s">
        <v>20</v>
      </c>
      <c r="C122" t="s">
        <v>18</v>
      </c>
      <c r="D122">
        <v>43896.13</v>
      </c>
      <c r="E122">
        <v>3853</v>
      </c>
      <c r="F122">
        <v>8.7999999999999995E-2</v>
      </c>
      <c r="G122">
        <v>13</v>
      </c>
      <c r="H122">
        <v>83</v>
      </c>
      <c r="I122">
        <v>6.8</v>
      </c>
      <c r="J122">
        <v>0</v>
      </c>
      <c r="K122">
        <v>4.4000000000000004</v>
      </c>
      <c r="L122">
        <v>509484.81</v>
      </c>
      <c r="M122">
        <v>85742.36</v>
      </c>
    </row>
    <row r="123" spans="1:13">
      <c r="A123" s="2">
        <v>45689</v>
      </c>
      <c r="B123" t="s">
        <v>20</v>
      </c>
      <c r="C123" t="s">
        <v>18</v>
      </c>
      <c r="D123">
        <v>83044.17</v>
      </c>
      <c r="E123">
        <v>3694</v>
      </c>
      <c r="F123">
        <v>0</v>
      </c>
      <c r="G123">
        <v>14</v>
      </c>
      <c r="H123">
        <v>89.4</v>
      </c>
      <c r="I123">
        <v>2.2000000000000002</v>
      </c>
      <c r="J123">
        <v>0</v>
      </c>
      <c r="K123">
        <v>3.7</v>
      </c>
      <c r="L123">
        <v>654317.09</v>
      </c>
      <c r="M123">
        <v>121446.89</v>
      </c>
    </row>
    <row r="124" spans="1:13">
      <c r="A124" s="2">
        <v>45717</v>
      </c>
      <c r="B124" t="s">
        <v>20</v>
      </c>
      <c r="C124" t="s">
        <v>18</v>
      </c>
      <c r="D124">
        <v>48396.13</v>
      </c>
      <c r="E124">
        <v>4423</v>
      </c>
      <c r="F124">
        <v>6.9000000000000006E-2</v>
      </c>
      <c r="G124">
        <v>15</v>
      </c>
      <c r="H124">
        <v>85.7</v>
      </c>
      <c r="I124">
        <v>1.88</v>
      </c>
      <c r="J124">
        <v>0</v>
      </c>
      <c r="K124">
        <v>3.9</v>
      </c>
      <c r="L124">
        <v>557487.26</v>
      </c>
      <c r="M124">
        <v>76432.19</v>
      </c>
    </row>
    <row r="125" spans="1:13">
      <c r="A125" s="2">
        <v>45748</v>
      </c>
      <c r="B125" t="s">
        <v>20</v>
      </c>
      <c r="C125" t="s">
        <v>18</v>
      </c>
      <c r="D125">
        <v>19063.48</v>
      </c>
      <c r="E125">
        <v>1906</v>
      </c>
      <c r="F125">
        <v>0.216</v>
      </c>
      <c r="G125">
        <v>10</v>
      </c>
      <c r="H125">
        <v>97.8</v>
      </c>
      <c r="I125">
        <v>15.79</v>
      </c>
      <c r="J125">
        <v>0</v>
      </c>
      <c r="K125">
        <v>4.4000000000000004</v>
      </c>
      <c r="L125">
        <v>441275.42</v>
      </c>
      <c r="M125">
        <v>58234.87</v>
      </c>
    </row>
    <row r="126" spans="1:13">
      <c r="A126" s="2">
        <v>45658</v>
      </c>
      <c r="B126" t="s">
        <v>24</v>
      </c>
      <c r="C126" t="s">
        <v>18</v>
      </c>
      <c r="D126">
        <v>61541.21</v>
      </c>
      <c r="E126">
        <v>10396</v>
      </c>
      <c r="F126">
        <v>0.123</v>
      </c>
      <c r="G126">
        <v>25</v>
      </c>
      <c r="H126">
        <v>88.1</v>
      </c>
      <c r="I126">
        <v>2.34</v>
      </c>
      <c r="J126">
        <v>1</v>
      </c>
      <c r="K126">
        <v>4.8</v>
      </c>
      <c r="L126">
        <v>914544.17</v>
      </c>
      <c r="M126">
        <v>79831.73</v>
      </c>
    </row>
    <row r="127" spans="1:13">
      <c r="A127" s="2">
        <v>45689</v>
      </c>
      <c r="B127" t="s">
        <v>24</v>
      </c>
      <c r="C127" t="s">
        <v>18</v>
      </c>
      <c r="D127">
        <v>44747</v>
      </c>
      <c r="E127">
        <v>11076</v>
      </c>
      <c r="F127">
        <v>0.17599999999999999</v>
      </c>
      <c r="G127">
        <v>27</v>
      </c>
      <c r="H127">
        <v>98.3</v>
      </c>
      <c r="I127">
        <v>0.54</v>
      </c>
      <c r="J127">
        <v>0</v>
      </c>
      <c r="K127">
        <v>4.4000000000000004</v>
      </c>
      <c r="L127">
        <v>842439.67</v>
      </c>
      <c r="M127">
        <v>169983.63</v>
      </c>
    </row>
    <row r="128" spans="1:13">
      <c r="A128" s="2">
        <v>45717</v>
      </c>
      <c r="B128" t="s">
        <v>24</v>
      </c>
      <c r="C128" t="s">
        <v>18</v>
      </c>
      <c r="D128">
        <v>56517.9</v>
      </c>
      <c r="E128">
        <v>9574</v>
      </c>
      <c r="F128">
        <v>0.20399999999999999</v>
      </c>
      <c r="G128">
        <v>20</v>
      </c>
      <c r="H128">
        <v>88.2</v>
      </c>
      <c r="I128">
        <v>5.37</v>
      </c>
      <c r="J128">
        <v>1</v>
      </c>
      <c r="K128">
        <v>4.9000000000000004</v>
      </c>
      <c r="L128">
        <v>842157.92</v>
      </c>
      <c r="M128">
        <v>107348.22</v>
      </c>
    </row>
    <row r="129" spans="1:13">
      <c r="A129" s="2">
        <v>45748</v>
      </c>
      <c r="B129" t="s">
        <v>24</v>
      </c>
      <c r="C129" t="s">
        <v>18</v>
      </c>
      <c r="D129">
        <v>37828.5</v>
      </c>
      <c r="E129">
        <v>8221</v>
      </c>
      <c r="F129">
        <v>9.6000000000000002E-2</v>
      </c>
      <c r="G129">
        <v>19</v>
      </c>
      <c r="H129">
        <v>81.5</v>
      </c>
      <c r="I129">
        <v>3.19</v>
      </c>
      <c r="J129">
        <v>0</v>
      </c>
      <c r="K129">
        <v>4.8</v>
      </c>
      <c r="L129">
        <v>697155.3</v>
      </c>
      <c r="M129">
        <v>136408.54</v>
      </c>
    </row>
    <row r="130" spans="1:13">
      <c r="A130" s="2">
        <v>45658</v>
      </c>
      <c r="B130" t="s">
        <v>15</v>
      </c>
      <c r="C130" t="s">
        <v>18</v>
      </c>
      <c r="D130">
        <v>66250.53</v>
      </c>
      <c r="E130">
        <v>10618</v>
      </c>
      <c r="F130">
        <v>0.14199999999999999</v>
      </c>
      <c r="G130">
        <v>27</v>
      </c>
      <c r="H130">
        <v>88.3</v>
      </c>
      <c r="I130">
        <v>1.1000000000000001</v>
      </c>
      <c r="J130">
        <v>1</v>
      </c>
      <c r="K130">
        <v>4.4000000000000004</v>
      </c>
      <c r="L130">
        <v>849018.3</v>
      </c>
      <c r="M130">
        <v>149035.13</v>
      </c>
    </row>
    <row r="131" spans="1:13">
      <c r="A131" s="2">
        <v>45689</v>
      </c>
      <c r="B131" t="s">
        <v>15</v>
      </c>
      <c r="C131" t="s">
        <v>18</v>
      </c>
      <c r="D131">
        <v>68410.929999999993</v>
      </c>
      <c r="E131">
        <v>10596</v>
      </c>
      <c r="F131">
        <v>0.20699999999999999</v>
      </c>
      <c r="G131">
        <v>25</v>
      </c>
      <c r="H131">
        <v>81.2</v>
      </c>
      <c r="I131">
        <v>0.21</v>
      </c>
      <c r="J131">
        <v>0</v>
      </c>
      <c r="K131">
        <v>4</v>
      </c>
      <c r="L131">
        <v>801830.35</v>
      </c>
      <c r="M131">
        <v>114875.32</v>
      </c>
    </row>
    <row r="132" spans="1:13">
      <c r="A132" s="2">
        <v>45717</v>
      </c>
      <c r="B132" t="s">
        <v>15</v>
      </c>
      <c r="C132" t="s">
        <v>18</v>
      </c>
      <c r="D132">
        <v>50735.63</v>
      </c>
      <c r="E132">
        <v>9619</v>
      </c>
      <c r="F132">
        <v>0.14399999999999999</v>
      </c>
      <c r="G132">
        <v>19</v>
      </c>
      <c r="H132">
        <v>93.8</v>
      </c>
      <c r="I132">
        <v>5.12</v>
      </c>
      <c r="J132">
        <v>1</v>
      </c>
      <c r="K132">
        <v>4.5</v>
      </c>
      <c r="L132">
        <v>725235.28</v>
      </c>
      <c r="M132">
        <v>121632.24</v>
      </c>
    </row>
    <row r="133" spans="1:13">
      <c r="A133" s="2">
        <v>45748</v>
      </c>
      <c r="B133" t="s">
        <v>15</v>
      </c>
      <c r="C133" t="s">
        <v>18</v>
      </c>
      <c r="D133">
        <v>66455.8</v>
      </c>
      <c r="E133">
        <v>10836</v>
      </c>
      <c r="F133">
        <v>8.8999999999999996E-2</v>
      </c>
      <c r="G133">
        <v>25</v>
      </c>
      <c r="H133">
        <v>85</v>
      </c>
      <c r="I133">
        <v>9.77</v>
      </c>
      <c r="J133">
        <v>0</v>
      </c>
      <c r="K133">
        <v>4.5</v>
      </c>
      <c r="L133">
        <v>811452.72</v>
      </c>
      <c r="M133">
        <v>131325.67000000001</v>
      </c>
    </row>
    <row r="134" spans="1:13">
      <c r="A134" s="2">
        <v>45658</v>
      </c>
      <c r="B134" t="s">
        <v>20</v>
      </c>
      <c r="C134" t="s">
        <v>18</v>
      </c>
      <c r="D134">
        <v>70276.28</v>
      </c>
      <c r="E134">
        <v>3043</v>
      </c>
      <c r="F134">
        <v>7.9000000000000001E-2</v>
      </c>
      <c r="G134">
        <v>9</v>
      </c>
      <c r="H134">
        <v>87.9</v>
      </c>
      <c r="I134">
        <v>3.77</v>
      </c>
      <c r="J134">
        <v>0</v>
      </c>
      <c r="K134">
        <v>4.4000000000000004</v>
      </c>
      <c r="L134">
        <v>527300.13</v>
      </c>
      <c r="M134">
        <v>84197.87</v>
      </c>
    </row>
    <row r="135" spans="1:13">
      <c r="A135" s="2">
        <v>45689</v>
      </c>
      <c r="B135" t="s">
        <v>20</v>
      </c>
      <c r="C135" t="s">
        <v>18</v>
      </c>
      <c r="D135">
        <v>22071.64</v>
      </c>
      <c r="E135">
        <v>1814</v>
      </c>
      <c r="F135">
        <v>0.19600000000000001</v>
      </c>
      <c r="G135">
        <v>8</v>
      </c>
      <c r="H135">
        <v>81.099999999999994</v>
      </c>
      <c r="I135">
        <v>0.78</v>
      </c>
      <c r="J135">
        <v>0</v>
      </c>
      <c r="L135">
        <v>400831.65</v>
      </c>
      <c r="M135">
        <v>70979.31</v>
      </c>
    </row>
    <row r="136" spans="1:13">
      <c r="A136" s="2">
        <v>45717</v>
      </c>
      <c r="B136" t="s">
        <v>20</v>
      </c>
      <c r="C136" t="s">
        <v>18</v>
      </c>
      <c r="D136">
        <v>52285.45</v>
      </c>
      <c r="E136">
        <v>3618</v>
      </c>
      <c r="F136">
        <v>8.5999999999999993E-2</v>
      </c>
      <c r="G136">
        <v>11</v>
      </c>
      <c r="H136">
        <v>95.6</v>
      </c>
      <c r="I136">
        <v>5.17</v>
      </c>
      <c r="J136">
        <v>1</v>
      </c>
      <c r="K136">
        <v>4.4000000000000004</v>
      </c>
      <c r="L136">
        <v>593247.25</v>
      </c>
      <c r="M136">
        <v>81240.289999999994</v>
      </c>
    </row>
    <row r="137" spans="1:13">
      <c r="A137" s="2">
        <v>45748</v>
      </c>
      <c r="B137" t="s">
        <v>20</v>
      </c>
      <c r="C137" t="s">
        <v>18</v>
      </c>
      <c r="D137">
        <v>70366.759999999995</v>
      </c>
      <c r="E137">
        <v>1963</v>
      </c>
      <c r="F137">
        <v>0.182</v>
      </c>
      <c r="G137">
        <v>8</v>
      </c>
      <c r="H137">
        <v>89.8</v>
      </c>
      <c r="I137">
        <v>3.2</v>
      </c>
      <c r="J137">
        <v>0</v>
      </c>
      <c r="K137">
        <v>4.5999999999999996</v>
      </c>
      <c r="L137">
        <v>529075.94999999995</v>
      </c>
      <c r="M137">
        <v>95978.83</v>
      </c>
    </row>
    <row r="138" spans="1:13">
      <c r="A138" s="2">
        <v>45658</v>
      </c>
      <c r="B138" t="s">
        <v>24</v>
      </c>
      <c r="C138" t="s">
        <v>16</v>
      </c>
      <c r="D138">
        <v>71320.66</v>
      </c>
      <c r="E138">
        <v>7888</v>
      </c>
      <c r="F138">
        <v>4.8000000000000001E-2</v>
      </c>
      <c r="G138">
        <v>20</v>
      </c>
      <c r="H138">
        <v>78.099999999999994</v>
      </c>
      <c r="I138">
        <v>3.4</v>
      </c>
      <c r="J138">
        <v>0</v>
      </c>
      <c r="L138">
        <v>633638.03</v>
      </c>
      <c r="M138">
        <v>99402.01</v>
      </c>
    </row>
    <row r="139" spans="1:13">
      <c r="A139" s="2">
        <v>45689</v>
      </c>
      <c r="B139" t="s">
        <v>24</v>
      </c>
      <c r="C139" t="s">
        <v>16</v>
      </c>
      <c r="D139">
        <v>75109.67</v>
      </c>
      <c r="E139">
        <v>6244</v>
      </c>
      <c r="F139">
        <v>7.9000000000000001E-2</v>
      </c>
      <c r="G139">
        <v>15</v>
      </c>
      <c r="H139">
        <v>96.3</v>
      </c>
      <c r="I139">
        <v>7.38</v>
      </c>
      <c r="J139">
        <v>0</v>
      </c>
      <c r="K139">
        <v>3.7</v>
      </c>
      <c r="L139">
        <v>743348.84</v>
      </c>
      <c r="M139">
        <v>104186.09</v>
      </c>
    </row>
    <row r="140" spans="1:13">
      <c r="A140" s="2">
        <v>45717</v>
      </c>
      <c r="B140" t="s">
        <v>24</v>
      </c>
      <c r="C140" t="s">
        <v>16</v>
      </c>
      <c r="D140">
        <v>69779</v>
      </c>
      <c r="E140">
        <v>6544</v>
      </c>
      <c r="F140">
        <v>0.152</v>
      </c>
      <c r="G140">
        <v>18</v>
      </c>
      <c r="H140">
        <v>90.2</v>
      </c>
      <c r="I140">
        <v>0.85</v>
      </c>
      <c r="J140">
        <v>1</v>
      </c>
      <c r="K140">
        <v>3.3</v>
      </c>
      <c r="L140">
        <v>758827.64</v>
      </c>
      <c r="M140">
        <v>161439.48000000001</v>
      </c>
    </row>
    <row r="141" spans="1:13">
      <c r="A141" s="2">
        <v>45748</v>
      </c>
      <c r="B141" t="s">
        <v>24</v>
      </c>
      <c r="C141" t="s">
        <v>16</v>
      </c>
      <c r="D141">
        <v>44211.95</v>
      </c>
      <c r="E141">
        <v>5465</v>
      </c>
      <c r="F141">
        <v>0.187</v>
      </c>
      <c r="G141">
        <v>12</v>
      </c>
      <c r="H141">
        <v>90</v>
      </c>
      <c r="I141">
        <v>2.89</v>
      </c>
      <c r="J141">
        <v>0</v>
      </c>
      <c r="K141">
        <v>3.6</v>
      </c>
      <c r="L141">
        <v>646559.71</v>
      </c>
      <c r="M141">
        <v>97981.75</v>
      </c>
    </row>
    <row r="142" spans="1:13">
      <c r="A142" s="2">
        <v>45658</v>
      </c>
      <c r="B142" t="s">
        <v>27</v>
      </c>
      <c r="C142" t="s">
        <v>18</v>
      </c>
      <c r="D142">
        <v>51430.31</v>
      </c>
      <c r="E142">
        <v>6427</v>
      </c>
      <c r="F142">
        <v>0.23400000000000001</v>
      </c>
      <c r="G142">
        <v>14</v>
      </c>
      <c r="H142">
        <v>88.8</v>
      </c>
      <c r="I142">
        <v>0.77</v>
      </c>
      <c r="J142">
        <v>0</v>
      </c>
      <c r="K142">
        <v>4.0999999999999996</v>
      </c>
      <c r="L142">
        <v>715890.53</v>
      </c>
      <c r="M142">
        <v>109032.15</v>
      </c>
    </row>
    <row r="143" spans="1:13">
      <c r="A143" s="2">
        <v>45689</v>
      </c>
      <c r="B143" t="s">
        <v>27</v>
      </c>
      <c r="C143" t="s">
        <v>18</v>
      </c>
      <c r="D143">
        <v>45706.49</v>
      </c>
      <c r="E143">
        <v>6704</v>
      </c>
      <c r="F143">
        <v>3.7999999999999999E-2</v>
      </c>
      <c r="G143">
        <v>15</v>
      </c>
      <c r="H143">
        <v>94.2</v>
      </c>
      <c r="I143">
        <v>2.92</v>
      </c>
      <c r="J143">
        <v>0</v>
      </c>
      <c r="K143">
        <v>4.2</v>
      </c>
      <c r="L143">
        <v>715097.57</v>
      </c>
      <c r="M143">
        <v>151875.85999999999</v>
      </c>
    </row>
    <row r="144" spans="1:13">
      <c r="A144" s="2">
        <v>45717</v>
      </c>
      <c r="B144" t="s">
        <v>27</v>
      </c>
      <c r="C144" t="s">
        <v>18</v>
      </c>
      <c r="D144">
        <v>44034.6</v>
      </c>
      <c r="E144">
        <v>5645</v>
      </c>
      <c r="F144">
        <v>6.9000000000000006E-2</v>
      </c>
      <c r="G144">
        <v>18</v>
      </c>
      <c r="H144">
        <v>88.5</v>
      </c>
      <c r="I144">
        <v>3.07</v>
      </c>
      <c r="J144">
        <v>0</v>
      </c>
      <c r="K144">
        <v>3.8</v>
      </c>
      <c r="L144">
        <v>682639.28</v>
      </c>
      <c r="M144">
        <v>77557.53</v>
      </c>
    </row>
    <row r="145" spans="1:13">
      <c r="A145" s="2">
        <v>45748</v>
      </c>
      <c r="B145" t="s">
        <v>27</v>
      </c>
      <c r="C145" t="s">
        <v>18</v>
      </c>
      <c r="D145">
        <v>50198.12</v>
      </c>
      <c r="E145">
        <v>6089</v>
      </c>
      <c r="F145">
        <v>0.182</v>
      </c>
      <c r="G145">
        <v>19</v>
      </c>
      <c r="H145">
        <v>94</v>
      </c>
      <c r="I145">
        <v>9.6999999999999993</v>
      </c>
      <c r="J145">
        <v>0</v>
      </c>
      <c r="K145">
        <v>3.9</v>
      </c>
      <c r="L145">
        <v>695098.51</v>
      </c>
      <c r="M145">
        <v>108192.75</v>
      </c>
    </row>
    <row r="146" spans="1:13">
      <c r="A146" s="2">
        <v>45658</v>
      </c>
      <c r="B146" t="s">
        <v>20</v>
      </c>
      <c r="C146" t="s">
        <v>16</v>
      </c>
      <c r="D146">
        <v>70488.2</v>
      </c>
      <c r="E146">
        <v>4312</v>
      </c>
      <c r="F146">
        <v>0.16900000000000001</v>
      </c>
      <c r="G146">
        <v>12</v>
      </c>
      <c r="H146">
        <v>90.2</v>
      </c>
      <c r="I146">
        <v>3.71</v>
      </c>
      <c r="J146">
        <v>0</v>
      </c>
      <c r="K146">
        <v>3.2</v>
      </c>
      <c r="L146">
        <v>577732.56999999995</v>
      </c>
      <c r="M146">
        <v>93804.27</v>
      </c>
    </row>
    <row r="147" spans="1:13">
      <c r="A147" s="2">
        <v>45689</v>
      </c>
      <c r="B147" t="s">
        <v>20</v>
      </c>
      <c r="C147" t="s">
        <v>16</v>
      </c>
      <c r="D147">
        <v>50909.27</v>
      </c>
      <c r="E147">
        <v>3152</v>
      </c>
      <c r="F147">
        <v>0.06</v>
      </c>
      <c r="G147">
        <v>13</v>
      </c>
      <c r="H147">
        <v>93.7</v>
      </c>
      <c r="I147">
        <v>10.79</v>
      </c>
      <c r="J147">
        <v>0</v>
      </c>
      <c r="K147">
        <v>3.5</v>
      </c>
      <c r="L147">
        <v>537058.32999999996</v>
      </c>
      <c r="M147">
        <v>93555.71</v>
      </c>
    </row>
    <row r="148" spans="1:13">
      <c r="A148" s="2">
        <v>45717</v>
      </c>
      <c r="B148" t="s">
        <v>20</v>
      </c>
      <c r="C148" t="s">
        <v>16</v>
      </c>
      <c r="D148">
        <v>53351.7</v>
      </c>
      <c r="E148">
        <v>4259</v>
      </c>
      <c r="F148">
        <v>0.156</v>
      </c>
      <c r="G148">
        <v>15</v>
      </c>
      <c r="H148">
        <v>93.7</v>
      </c>
      <c r="I148">
        <v>6.03</v>
      </c>
      <c r="J148">
        <v>0</v>
      </c>
      <c r="K148">
        <v>3.4</v>
      </c>
      <c r="L148">
        <v>601568.87</v>
      </c>
      <c r="M148">
        <v>91634.82</v>
      </c>
    </row>
    <row r="149" spans="1:13">
      <c r="A149" s="2">
        <v>45748</v>
      </c>
      <c r="B149" t="s">
        <v>20</v>
      </c>
      <c r="C149" t="s">
        <v>16</v>
      </c>
      <c r="D149">
        <v>60322.400000000001</v>
      </c>
      <c r="E149">
        <v>3350</v>
      </c>
      <c r="F149">
        <v>0.108</v>
      </c>
      <c r="G149">
        <v>12</v>
      </c>
      <c r="H149">
        <v>89.4</v>
      </c>
      <c r="I149">
        <v>4.92</v>
      </c>
      <c r="J149">
        <v>0</v>
      </c>
      <c r="K149">
        <v>3.4</v>
      </c>
      <c r="L149">
        <v>570964.84</v>
      </c>
      <c r="M149">
        <v>81331.070000000007</v>
      </c>
    </row>
    <row r="150" spans="1:13">
      <c r="A150" s="2">
        <v>45658</v>
      </c>
      <c r="B150" t="s">
        <v>24</v>
      </c>
      <c r="C150" t="s">
        <v>28</v>
      </c>
      <c r="D150">
        <v>51575.68</v>
      </c>
      <c r="E150">
        <v>5329</v>
      </c>
      <c r="F150">
        <v>4.7E-2</v>
      </c>
      <c r="G150">
        <v>17</v>
      </c>
      <c r="H150">
        <v>88.1</v>
      </c>
      <c r="I150">
        <v>19.78</v>
      </c>
      <c r="J150">
        <v>0</v>
      </c>
      <c r="K150">
        <v>3.8</v>
      </c>
      <c r="L150">
        <v>614024.91</v>
      </c>
      <c r="M150">
        <v>84828.93</v>
      </c>
    </row>
    <row r="151" spans="1:13">
      <c r="A151" s="2">
        <v>45689</v>
      </c>
      <c r="B151" t="s">
        <v>24</v>
      </c>
      <c r="C151" t="s">
        <v>28</v>
      </c>
      <c r="D151">
        <v>43319.94</v>
      </c>
      <c r="E151">
        <v>6551</v>
      </c>
      <c r="F151">
        <v>4.3999999999999997E-2</v>
      </c>
      <c r="G151">
        <v>13</v>
      </c>
      <c r="H151">
        <v>99</v>
      </c>
      <c r="I151">
        <v>5.45</v>
      </c>
      <c r="J151">
        <v>0</v>
      </c>
      <c r="K151">
        <v>4.0999999999999996</v>
      </c>
      <c r="L151">
        <v>712868.35</v>
      </c>
      <c r="M151">
        <v>133650.51</v>
      </c>
    </row>
    <row r="152" spans="1:13">
      <c r="A152" s="2">
        <v>45717</v>
      </c>
      <c r="B152" t="s">
        <v>24</v>
      </c>
      <c r="C152" t="s">
        <v>28</v>
      </c>
      <c r="D152">
        <v>47093.55</v>
      </c>
      <c r="E152">
        <v>5550</v>
      </c>
      <c r="F152">
        <v>0.1</v>
      </c>
      <c r="G152">
        <v>12</v>
      </c>
      <c r="H152">
        <v>95</v>
      </c>
      <c r="I152">
        <v>2.33</v>
      </c>
      <c r="J152">
        <v>1</v>
      </c>
      <c r="K152">
        <v>3.7</v>
      </c>
      <c r="L152">
        <v>696744.15</v>
      </c>
      <c r="M152">
        <v>152230.09</v>
      </c>
    </row>
    <row r="153" spans="1:13">
      <c r="A153" s="2">
        <v>45748</v>
      </c>
      <c r="B153" t="s">
        <v>24</v>
      </c>
      <c r="C153" t="s">
        <v>28</v>
      </c>
      <c r="D153">
        <v>71855.09</v>
      </c>
      <c r="E153">
        <v>5911</v>
      </c>
      <c r="F153">
        <v>0.19700000000000001</v>
      </c>
      <c r="G153">
        <v>15</v>
      </c>
      <c r="H153">
        <v>94.3</v>
      </c>
      <c r="I153">
        <v>3.55</v>
      </c>
      <c r="J153">
        <v>0</v>
      </c>
      <c r="K153">
        <v>4.0999999999999996</v>
      </c>
      <c r="L153">
        <v>725847.99</v>
      </c>
      <c r="M153">
        <v>122698.73</v>
      </c>
    </row>
    <row r="154" spans="1:13">
      <c r="A154" s="2">
        <v>45658</v>
      </c>
      <c r="B154" t="s">
        <v>15</v>
      </c>
      <c r="C154" t="s">
        <v>18</v>
      </c>
      <c r="D154">
        <v>75645.23</v>
      </c>
      <c r="E154">
        <v>9674</v>
      </c>
      <c r="F154">
        <v>0.23400000000000001</v>
      </c>
      <c r="G154">
        <v>21</v>
      </c>
      <c r="H154">
        <v>87.4</v>
      </c>
      <c r="I154">
        <v>0.2</v>
      </c>
      <c r="J154">
        <v>0</v>
      </c>
      <c r="K154">
        <v>4.5</v>
      </c>
      <c r="L154">
        <v>785028.25</v>
      </c>
      <c r="M154">
        <v>110726.44</v>
      </c>
    </row>
    <row r="155" spans="1:13">
      <c r="A155" s="2">
        <v>45689</v>
      </c>
      <c r="B155" t="s">
        <v>15</v>
      </c>
      <c r="C155" t="s">
        <v>18</v>
      </c>
      <c r="D155">
        <v>64374.75</v>
      </c>
      <c r="E155">
        <v>6740</v>
      </c>
      <c r="F155">
        <v>0.16900000000000001</v>
      </c>
      <c r="G155">
        <v>18</v>
      </c>
      <c r="H155">
        <v>87</v>
      </c>
      <c r="I155">
        <v>2.09</v>
      </c>
      <c r="J155">
        <v>0</v>
      </c>
      <c r="K155">
        <v>4.2</v>
      </c>
      <c r="L155">
        <v>698492.67</v>
      </c>
      <c r="M155">
        <v>117319.32</v>
      </c>
    </row>
    <row r="156" spans="1:13">
      <c r="A156" s="2">
        <v>45717</v>
      </c>
      <c r="B156" t="s">
        <v>15</v>
      </c>
      <c r="C156" t="s">
        <v>18</v>
      </c>
      <c r="D156">
        <v>61433.84</v>
      </c>
      <c r="E156">
        <v>7745</v>
      </c>
      <c r="F156">
        <v>0.18</v>
      </c>
      <c r="G156">
        <v>16</v>
      </c>
      <c r="H156">
        <v>90.5</v>
      </c>
      <c r="I156">
        <v>2.2599999999999998</v>
      </c>
      <c r="J156">
        <v>0</v>
      </c>
      <c r="K156">
        <v>4.2</v>
      </c>
      <c r="L156">
        <v>685830.24</v>
      </c>
      <c r="M156">
        <v>128736.18</v>
      </c>
    </row>
    <row r="157" spans="1:13">
      <c r="A157" s="2">
        <v>45748</v>
      </c>
      <c r="B157" t="s">
        <v>15</v>
      </c>
      <c r="C157" t="s">
        <v>18</v>
      </c>
      <c r="D157">
        <v>42698.14</v>
      </c>
      <c r="E157">
        <v>7693</v>
      </c>
      <c r="F157">
        <v>0.187</v>
      </c>
      <c r="G157">
        <v>19</v>
      </c>
      <c r="H157">
        <v>90.1</v>
      </c>
      <c r="I157">
        <v>0.44</v>
      </c>
      <c r="J157">
        <v>0</v>
      </c>
      <c r="K157">
        <v>4.4000000000000004</v>
      </c>
      <c r="L157">
        <v>702318.94</v>
      </c>
      <c r="M157">
        <v>112829.29</v>
      </c>
    </row>
    <row r="158" spans="1:13">
      <c r="A158" s="2">
        <v>45658</v>
      </c>
      <c r="B158" t="s">
        <v>20</v>
      </c>
      <c r="C158" t="s">
        <v>28</v>
      </c>
      <c r="D158">
        <v>86883.31</v>
      </c>
      <c r="E158">
        <v>6424</v>
      </c>
      <c r="F158">
        <v>5.7000000000000002E-2</v>
      </c>
      <c r="G158">
        <v>19</v>
      </c>
      <c r="H158">
        <v>85.2</v>
      </c>
      <c r="I158">
        <v>3.08</v>
      </c>
      <c r="J158">
        <v>0</v>
      </c>
      <c r="K158">
        <v>3.9</v>
      </c>
      <c r="L158">
        <v>700078.32</v>
      </c>
      <c r="M158">
        <v>123707.58</v>
      </c>
    </row>
    <row r="159" spans="1:13">
      <c r="A159" s="2">
        <v>45689</v>
      </c>
      <c r="B159" t="s">
        <v>20</v>
      </c>
      <c r="C159" t="s">
        <v>28</v>
      </c>
      <c r="D159">
        <v>41863.08</v>
      </c>
      <c r="E159">
        <v>5400</v>
      </c>
      <c r="F159">
        <v>0.114</v>
      </c>
      <c r="G159">
        <v>11</v>
      </c>
      <c r="H159">
        <v>91.6</v>
      </c>
      <c r="I159">
        <v>7.99</v>
      </c>
      <c r="J159">
        <v>0</v>
      </c>
      <c r="K159">
        <v>3</v>
      </c>
      <c r="L159">
        <v>602002.31999999995</v>
      </c>
      <c r="M159">
        <v>110453.28</v>
      </c>
    </row>
    <row r="160" spans="1:13">
      <c r="A160" s="2">
        <v>45717</v>
      </c>
      <c r="B160" t="s">
        <v>20</v>
      </c>
      <c r="C160" t="s">
        <v>28</v>
      </c>
      <c r="D160">
        <v>56918.16</v>
      </c>
      <c r="E160">
        <v>7015</v>
      </c>
      <c r="F160">
        <v>0.158</v>
      </c>
      <c r="G160">
        <v>18</v>
      </c>
      <c r="H160">
        <v>74.2</v>
      </c>
      <c r="I160">
        <v>0.2</v>
      </c>
      <c r="J160">
        <v>0</v>
      </c>
      <c r="K160">
        <v>3.4</v>
      </c>
      <c r="L160">
        <v>724216.07</v>
      </c>
      <c r="M160">
        <v>100627.56</v>
      </c>
    </row>
    <row r="161" spans="1:13">
      <c r="A161" s="2">
        <v>45748</v>
      </c>
      <c r="B161" t="s">
        <v>20</v>
      </c>
      <c r="C161" t="s">
        <v>28</v>
      </c>
      <c r="D161">
        <v>23254.57</v>
      </c>
      <c r="E161">
        <v>3847</v>
      </c>
      <c r="F161">
        <v>0.159</v>
      </c>
      <c r="G161">
        <v>12</v>
      </c>
      <c r="H161">
        <v>93</v>
      </c>
      <c r="I161">
        <v>5.46</v>
      </c>
      <c r="J161">
        <v>0</v>
      </c>
      <c r="K161">
        <v>3.3</v>
      </c>
      <c r="L161">
        <v>620973.03</v>
      </c>
      <c r="M161">
        <v>72303.850000000006</v>
      </c>
    </row>
    <row r="162" spans="1:13">
      <c r="A162" s="2">
        <v>45658</v>
      </c>
      <c r="B162" t="s">
        <v>24</v>
      </c>
      <c r="C162" t="s">
        <v>18</v>
      </c>
      <c r="D162">
        <v>41443.410000000003</v>
      </c>
      <c r="E162">
        <v>7455</v>
      </c>
      <c r="F162">
        <v>0.17499999999999999</v>
      </c>
      <c r="G162">
        <v>16</v>
      </c>
      <c r="H162">
        <v>90.1</v>
      </c>
      <c r="I162">
        <v>4.05</v>
      </c>
      <c r="J162">
        <v>0</v>
      </c>
      <c r="K162">
        <v>4</v>
      </c>
      <c r="L162">
        <v>650480.06000000006</v>
      </c>
      <c r="M162">
        <v>109012.07</v>
      </c>
    </row>
    <row r="163" spans="1:13">
      <c r="A163" s="2">
        <v>45689</v>
      </c>
      <c r="B163" t="s">
        <v>24</v>
      </c>
      <c r="C163" t="s">
        <v>18</v>
      </c>
      <c r="D163">
        <v>48438.85</v>
      </c>
      <c r="E163">
        <v>6992</v>
      </c>
      <c r="F163">
        <v>3.4000000000000002E-2</v>
      </c>
      <c r="G163">
        <v>20</v>
      </c>
      <c r="H163">
        <v>91</v>
      </c>
      <c r="I163">
        <v>4.3600000000000003</v>
      </c>
      <c r="J163">
        <v>0</v>
      </c>
      <c r="K163">
        <v>4.2</v>
      </c>
      <c r="L163">
        <v>778298.88</v>
      </c>
      <c r="M163">
        <v>130076.72</v>
      </c>
    </row>
    <row r="164" spans="1:13">
      <c r="A164" s="2">
        <v>45717</v>
      </c>
      <c r="B164" t="s">
        <v>24</v>
      </c>
      <c r="C164" t="s">
        <v>18</v>
      </c>
      <c r="D164">
        <v>57143.3</v>
      </c>
      <c r="E164">
        <v>8038</v>
      </c>
      <c r="F164">
        <v>0.193</v>
      </c>
      <c r="G164">
        <v>17</v>
      </c>
      <c r="H164">
        <v>72.599999999999994</v>
      </c>
      <c r="J164">
        <v>0</v>
      </c>
      <c r="K164">
        <v>4.2</v>
      </c>
      <c r="L164">
        <v>677096.71</v>
      </c>
      <c r="M164">
        <v>97174.11</v>
      </c>
    </row>
    <row r="165" spans="1:13">
      <c r="A165" s="2">
        <v>45748</v>
      </c>
      <c r="B165" t="s">
        <v>24</v>
      </c>
      <c r="C165" t="s">
        <v>18</v>
      </c>
      <c r="D165">
        <v>66870.62</v>
      </c>
      <c r="E165">
        <v>6055</v>
      </c>
      <c r="F165">
        <v>7.4999999999999997E-2</v>
      </c>
      <c r="G165">
        <v>19</v>
      </c>
      <c r="H165">
        <v>93.8</v>
      </c>
      <c r="I165">
        <v>0.54</v>
      </c>
      <c r="J165">
        <v>0</v>
      </c>
      <c r="K165">
        <v>4.3</v>
      </c>
      <c r="L165">
        <v>692008.64</v>
      </c>
      <c r="M165">
        <v>116337.87</v>
      </c>
    </row>
    <row r="166" spans="1:13">
      <c r="A166" s="2">
        <v>45658</v>
      </c>
      <c r="B166" t="s">
        <v>20</v>
      </c>
      <c r="C166" t="s">
        <v>28</v>
      </c>
      <c r="D166">
        <v>72150.53</v>
      </c>
      <c r="E166">
        <v>9323</v>
      </c>
      <c r="F166">
        <v>0.157</v>
      </c>
      <c r="G166">
        <v>22</v>
      </c>
      <c r="H166">
        <v>82.9</v>
      </c>
      <c r="I166">
        <v>11.37</v>
      </c>
      <c r="J166">
        <v>1</v>
      </c>
      <c r="K166">
        <v>4.3</v>
      </c>
      <c r="L166">
        <v>825797.91</v>
      </c>
      <c r="M166">
        <v>130945.24</v>
      </c>
    </row>
    <row r="167" spans="1:13">
      <c r="A167" s="2">
        <v>45689</v>
      </c>
      <c r="B167" t="s">
        <v>20</v>
      </c>
      <c r="C167" t="s">
        <v>28</v>
      </c>
      <c r="D167">
        <v>35303.300000000003</v>
      </c>
      <c r="E167">
        <v>8789</v>
      </c>
      <c r="F167">
        <v>0.123</v>
      </c>
      <c r="G167">
        <v>22</v>
      </c>
      <c r="H167">
        <v>86.1</v>
      </c>
      <c r="I167">
        <v>9.43</v>
      </c>
      <c r="J167">
        <v>0</v>
      </c>
      <c r="K167">
        <v>4.2</v>
      </c>
      <c r="L167">
        <v>706285.52</v>
      </c>
      <c r="M167">
        <v>138014.72</v>
      </c>
    </row>
    <row r="168" spans="1:13">
      <c r="A168" s="2">
        <v>45717</v>
      </c>
      <c r="B168" t="s">
        <v>20</v>
      </c>
      <c r="C168" t="s">
        <v>28</v>
      </c>
      <c r="D168">
        <v>30301.86</v>
      </c>
      <c r="E168">
        <v>6939</v>
      </c>
      <c r="F168">
        <v>0.09</v>
      </c>
      <c r="G168">
        <v>16</v>
      </c>
      <c r="H168">
        <v>90.3</v>
      </c>
      <c r="I168">
        <v>3.49</v>
      </c>
      <c r="J168">
        <v>0</v>
      </c>
      <c r="K168">
        <v>4</v>
      </c>
      <c r="L168">
        <v>665534.69999999995</v>
      </c>
      <c r="M168">
        <v>113167.73</v>
      </c>
    </row>
    <row r="169" spans="1:13">
      <c r="A169" s="2">
        <v>45748</v>
      </c>
      <c r="B169" t="s">
        <v>20</v>
      </c>
      <c r="C169" t="s">
        <v>28</v>
      </c>
      <c r="D169">
        <v>78432.14</v>
      </c>
      <c r="E169">
        <v>9440</v>
      </c>
      <c r="F169">
        <v>0.126</v>
      </c>
      <c r="G169">
        <v>23</v>
      </c>
      <c r="H169">
        <v>89.2</v>
      </c>
      <c r="I169">
        <v>7.86</v>
      </c>
      <c r="J169">
        <v>0</v>
      </c>
      <c r="K169">
        <v>4.0999999999999996</v>
      </c>
      <c r="L169">
        <v>820729.29</v>
      </c>
      <c r="M169">
        <v>159325.47</v>
      </c>
    </row>
    <row r="170" spans="1:13">
      <c r="A170" s="2">
        <v>45658</v>
      </c>
      <c r="B170" t="s">
        <v>15</v>
      </c>
      <c r="C170" t="s">
        <v>16</v>
      </c>
      <c r="D170">
        <v>62059.18</v>
      </c>
      <c r="E170">
        <v>9374</v>
      </c>
      <c r="F170">
        <v>0.13600000000000001</v>
      </c>
      <c r="G170">
        <v>25</v>
      </c>
      <c r="H170">
        <v>87.1</v>
      </c>
      <c r="I170">
        <v>12.55</v>
      </c>
      <c r="J170">
        <v>0</v>
      </c>
      <c r="K170">
        <v>4.9000000000000004</v>
      </c>
      <c r="L170">
        <v>739831.73</v>
      </c>
      <c r="M170">
        <v>119490.21</v>
      </c>
    </row>
    <row r="171" spans="1:13">
      <c r="A171" s="2">
        <v>45689</v>
      </c>
      <c r="B171" t="s">
        <v>15</v>
      </c>
      <c r="C171" t="s">
        <v>16</v>
      </c>
      <c r="D171">
        <v>32834.480000000003</v>
      </c>
      <c r="E171">
        <v>7576</v>
      </c>
      <c r="F171">
        <v>9.9000000000000005E-2</v>
      </c>
      <c r="G171">
        <v>15</v>
      </c>
      <c r="H171">
        <v>84.1</v>
      </c>
      <c r="I171">
        <v>3.48</v>
      </c>
      <c r="J171">
        <v>0</v>
      </c>
      <c r="K171">
        <v>5</v>
      </c>
      <c r="L171">
        <v>593637.14</v>
      </c>
      <c r="M171">
        <v>106648.14</v>
      </c>
    </row>
    <row r="172" spans="1:13">
      <c r="A172" s="2">
        <v>45717</v>
      </c>
      <c r="B172" t="s">
        <v>15</v>
      </c>
      <c r="C172" t="s">
        <v>16</v>
      </c>
      <c r="D172">
        <v>50825.08</v>
      </c>
      <c r="E172">
        <v>8949</v>
      </c>
      <c r="F172">
        <v>0.157</v>
      </c>
      <c r="G172">
        <v>21</v>
      </c>
      <c r="H172">
        <v>84.7</v>
      </c>
      <c r="I172">
        <v>7.73</v>
      </c>
      <c r="J172">
        <v>0</v>
      </c>
      <c r="K172">
        <v>4.9000000000000004</v>
      </c>
      <c r="L172">
        <v>769702.76</v>
      </c>
      <c r="M172">
        <v>158697</v>
      </c>
    </row>
    <row r="173" spans="1:13">
      <c r="A173" s="2">
        <v>45748</v>
      </c>
      <c r="B173" t="s">
        <v>15</v>
      </c>
      <c r="C173" t="s">
        <v>16</v>
      </c>
      <c r="D173">
        <v>36606.51</v>
      </c>
      <c r="E173">
        <v>7671</v>
      </c>
      <c r="F173">
        <v>0.11799999999999999</v>
      </c>
      <c r="G173">
        <v>18</v>
      </c>
      <c r="H173">
        <v>89.8</v>
      </c>
      <c r="I173">
        <v>0.25</v>
      </c>
      <c r="J173">
        <v>0</v>
      </c>
      <c r="K173">
        <v>4.4000000000000004</v>
      </c>
      <c r="L173">
        <v>679731.57</v>
      </c>
      <c r="M173">
        <v>121546.42</v>
      </c>
    </row>
    <row r="174" spans="1:13">
      <c r="A174" s="2">
        <v>45658</v>
      </c>
      <c r="B174" t="s">
        <v>15</v>
      </c>
      <c r="C174" t="s">
        <v>16</v>
      </c>
      <c r="D174">
        <v>65237.79</v>
      </c>
      <c r="E174">
        <v>8741</v>
      </c>
      <c r="F174">
        <v>0.157</v>
      </c>
      <c r="G174">
        <v>20</v>
      </c>
      <c r="H174">
        <v>94.4</v>
      </c>
      <c r="I174">
        <v>6.43</v>
      </c>
      <c r="J174">
        <v>0</v>
      </c>
      <c r="K174">
        <v>3.3</v>
      </c>
      <c r="L174">
        <v>780344.18</v>
      </c>
      <c r="M174">
        <v>118239.09</v>
      </c>
    </row>
    <row r="175" spans="1:13">
      <c r="A175" s="2">
        <v>45689</v>
      </c>
      <c r="B175" t="s">
        <v>15</v>
      </c>
      <c r="C175" t="s">
        <v>16</v>
      </c>
      <c r="D175">
        <v>43645.98</v>
      </c>
      <c r="E175">
        <v>9480</v>
      </c>
      <c r="F175">
        <v>0.109</v>
      </c>
      <c r="G175">
        <v>22</v>
      </c>
      <c r="H175">
        <v>89</v>
      </c>
      <c r="I175">
        <v>2.11</v>
      </c>
      <c r="J175">
        <v>0</v>
      </c>
      <c r="K175">
        <v>3.1</v>
      </c>
      <c r="L175">
        <v>721364.11</v>
      </c>
      <c r="M175">
        <v>147272.81</v>
      </c>
    </row>
    <row r="176" spans="1:13">
      <c r="A176" s="2">
        <v>45717</v>
      </c>
      <c r="B176" t="s">
        <v>15</v>
      </c>
      <c r="C176" t="s">
        <v>16</v>
      </c>
      <c r="D176">
        <v>68040.149999999994</v>
      </c>
      <c r="E176">
        <v>9826</v>
      </c>
      <c r="F176">
        <v>0.125</v>
      </c>
      <c r="G176">
        <v>20</v>
      </c>
      <c r="H176">
        <v>83.9</v>
      </c>
      <c r="I176">
        <v>9.1199999999999992</v>
      </c>
      <c r="J176">
        <v>0</v>
      </c>
      <c r="K176">
        <v>3.6</v>
      </c>
      <c r="L176">
        <v>758138.29</v>
      </c>
      <c r="M176">
        <v>132975.26</v>
      </c>
    </row>
    <row r="177" spans="1:13">
      <c r="A177" s="2">
        <v>45748</v>
      </c>
      <c r="B177" t="s">
        <v>15</v>
      </c>
      <c r="C177" t="s">
        <v>16</v>
      </c>
      <c r="D177">
        <v>63043.94</v>
      </c>
      <c r="E177">
        <v>10402</v>
      </c>
      <c r="F177">
        <v>0.159</v>
      </c>
      <c r="G177">
        <v>23</v>
      </c>
      <c r="H177">
        <v>93.9</v>
      </c>
      <c r="I177">
        <v>2.71</v>
      </c>
      <c r="J177">
        <v>0</v>
      </c>
      <c r="K177">
        <v>3.1</v>
      </c>
      <c r="L177">
        <v>804264</v>
      </c>
      <c r="M177">
        <v>167117.91</v>
      </c>
    </row>
    <row r="178" spans="1:13">
      <c r="A178" s="2">
        <v>45658</v>
      </c>
      <c r="B178" t="s">
        <v>27</v>
      </c>
      <c r="C178" t="s">
        <v>21</v>
      </c>
      <c r="D178">
        <v>67494.09</v>
      </c>
      <c r="E178">
        <v>12361</v>
      </c>
      <c r="F178">
        <v>4.5999999999999999E-2</v>
      </c>
      <c r="G178">
        <v>24</v>
      </c>
      <c r="H178">
        <v>76.599999999999994</v>
      </c>
      <c r="I178">
        <v>3.65</v>
      </c>
      <c r="J178">
        <v>1</v>
      </c>
      <c r="K178">
        <v>3.7</v>
      </c>
      <c r="L178">
        <v>887537.75</v>
      </c>
      <c r="M178">
        <v>160362.92000000001</v>
      </c>
    </row>
    <row r="179" spans="1:13">
      <c r="A179" s="2">
        <v>45689</v>
      </c>
      <c r="B179" t="s">
        <v>27</v>
      </c>
      <c r="C179" t="s">
        <v>21</v>
      </c>
      <c r="D179">
        <v>29389.32</v>
      </c>
      <c r="E179">
        <v>7925</v>
      </c>
      <c r="F179">
        <v>0.17699999999999999</v>
      </c>
      <c r="G179">
        <v>21</v>
      </c>
      <c r="H179">
        <v>90.9</v>
      </c>
      <c r="I179">
        <v>7.86</v>
      </c>
      <c r="J179">
        <v>0</v>
      </c>
      <c r="K179">
        <v>4</v>
      </c>
      <c r="L179">
        <v>783582</v>
      </c>
      <c r="M179">
        <v>130670.93</v>
      </c>
    </row>
    <row r="180" spans="1:13">
      <c r="A180" s="2">
        <v>45717</v>
      </c>
      <c r="B180" t="s">
        <v>27</v>
      </c>
      <c r="C180" t="s">
        <v>21</v>
      </c>
      <c r="D180">
        <v>40535.089999999997</v>
      </c>
      <c r="E180">
        <v>8870</v>
      </c>
      <c r="F180">
        <v>4.1000000000000002E-2</v>
      </c>
      <c r="G180">
        <v>21</v>
      </c>
      <c r="H180">
        <v>86.6</v>
      </c>
      <c r="I180">
        <v>0.3</v>
      </c>
      <c r="J180">
        <v>0</v>
      </c>
      <c r="K180">
        <v>4.0999999999999996</v>
      </c>
      <c r="L180">
        <v>781955.52</v>
      </c>
      <c r="M180">
        <v>152578.71</v>
      </c>
    </row>
    <row r="181" spans="1:13">
      <c r="A181" s="2">
        <v>45748</v>
      </c>
      <c r="B181" t="s">
        <v>27</v>
      </c>
      <c r="C181" t="s">
        <v>21</v>
      </c>
      <c r="D181">
        <v>74881.56</v>
      </c>
      <c r="E181">
        <v>9999</v>
      </c>
      <c r="F181">
        <v>1.2999999999999999E-2</v>
      </c>
      <c r="G181">
        <v>20</v>
      </c>
      <c r="H181">
        <v>89.6</v>
      </c>
      <c r="I181">
        <v>8.44</v>
      </c>
      <c r="J181">
        <v>0</v>
      </c>
      <c r="K181">
        <v>4.0999999999999996</v>
      </c>
      <c r="L181">
        <v>898031.04</v>
      </c>
      <c r="M181">
        <v>138666.5</v>
      </c>
    </row>
    <row r="182" spans="1:13">
      <c r="A182" s="2">
        <v>45658</v>
      </c>
      <c r="B182" t="s">
        <v>27</v>
      </c>
      <c r="C182" t="s">
        <v>16</v>
      </c>
      <c r="D182">
        <v>68491.11</v>
      </c>
      <c r="E182">
        <v>11154</v>
      </c>
      <c r="F182">
        <v>1E-3</v>
      </c>
      <c r="G182">
        <v>24</v>
      </c>
      <c r="H182">
        <v>89.4</v>
      </c>
      <c r="I182">
        <v>5.27</v>
      </c>
      <c r="J182">
        <v>1</v>
      </c>
      <c r="K182">
        <v>3.9</v>
      </c>
      <c r="L182">
        <v>855341.28</v>
      </c>
      <c r="M182">
        <v>175823.8</v>
      </c>
    </row>
    <row r="183" spans="1:13">
      <c r="A183" s="2">
        <v>45689</v>
      </c>
      <c r="B183" t="s">
        <v>27</v>
      </c>
      <c r="C183" t="s">
        <v>16</v>
      </c>
      <c r="D183">
        <v>45209.25</v>
      </c>
      <c r="E183">
        <v>9287</v>
      </c>
      <c r="F183">
        <v>0.14099999999999999</v>
      </c>
      <c r="G183">
        <v>22</v>
      </c>
      <c r="H183">
        <v>86.4</v>
      </c>
      <c r="I183">
        <v>13.22</v>
      </c>
      <c r="J183">
        <v>0</v>
      </c>
      <c r="K183">
        <v>3.6</v>
      </c>
      <c r="L183">
        <v>751393.88</v>
      </c>
      <c r="M183">
        <v>91480.320000000007</v>
      </c>
    </row>
    <row r="184" spans="1:13">
      <c r="A184" s="2">
        <v>45717</v>
      </c>
      <c r="B184" t="s">
        <v>27</v>
      </c>
      <c r="C184" t="s">
        <v>16</v>
      </c>
      <c r="D184">
        <v>63010.23</v>
      </c>
      <c r="E184">
        <v>9812</v>
      </c>
      <c r="F184">
        <v>0.113</v>
      </c>
      <c r="G184">
        <v>24</v>
      </c>
      <c r="H184">
        <v>76.8</v>
      </c>
      <c r="I184">
        <v>1.02</v>
      </c>
      <c r="J184">
        <v>1</v>
      </c>
      <c r="K184">
        <v>3.8</v>
      </c>
      <c r="L184">
        <v>761077.08</v>
      </c>
      <c r="M184">
        <v>113605.93</v>
      </c>
    </row>
    <row r="185" spans="1:13">
      <c r="A185" s="2">
        <v>45748</v>
      </c>
      <c r="B185" t="s">
        <v>27</v>
      </c>
      <c r="C185" t="s">
        <v>16</v>
      </c>
      <c r="D185">
        <v>57948.88</v>
      </c>
      <c r="E185">
        <v>10741</v>
      </c>
      <c r="F185">
        <v>7.0000000000000007E-2</v>
      </c>
      <c r="G185">
        <v>25</v>
      </c>
      <c r="H185">
        <v>90.1</v>
      </c>
      <c r="I185">
        <v>4.03</v>
      </c>
      <c r="J185">
        <v>0</v>
      </c>
      <c r="K185">
        <v>3.1</v>
      </c>
      <c r="L185">
        <v>819660.59</v>
      </c>
      <c r="M185">
        <v>172699.95</v>
      </c>
    </row>
    <row r="186" spans="1:13">
      <c r="A186" s="2">
        <v>45658</v>
      </c>
      <c r="B186" t="s">
        <v>20</v>
      </c>
      <c r="C186" t="s">
        <v>18</v>
      </c>
      <c r="D186">
        <v>71941.62</v>
      </c>
      <c r="E186">
        <v>6084</v>
      </c>
      <c r="F186">
        <v>7.1999999999999995E-2</v>
      </c>
      <c r="G186">
        <v>13</v>
      </c>
      <c r="H186">
        <v>93.7</v>
      </c>
      <c r="I186">
        <v>2.34</v>
      </c>
      <c r="J186">
        <v>0</v>
      </c>
      <c r="K186">
        <v>4.4000000000000004</v>
      </c>
      <c r="L186">
        <v>681855.56</v>
      </c>
      <c r="M186">
        <v>117645.61</v>
      </c>
    </row>
    <row r="187" spans="1:13">
      <c r="A187" s="2">
        <v>45689</v>
      </c>
      <c r="B187" t="s">
        <v>20</v>
      </c>
      <c r="C187" t="s">
        <v>18</v>
      </c>
      <c r="D187">
        <v>57147.88</v>
      </c>
      <c r="E187">
        <v>5252</v>
      </c>
      <c r="F187">
        <v>0.161</v>
      </c>
      <c r="G187">
        <v>15</v>
      </c>
      <c r="H187">
        <v>95.5</v>
      </c>
      <c r="I187">
        <v>8.51</v>
      </c>
      <c r="J187">
        <v>0</v>
      </c>
      <c r="K187">
        <v>4.4000000000000004</v>
      </c>
      <c r="L187">
        <v>678311.17</v>
      </c>
      <c r="M187">
        <v>132029.76000000001</v>
      </c>
    </row>
    <row r="188" spans="1:13">
      <c r="A188" s="2">
        <v>45717</v>
      </c>
      <c r="B188" t="s">
        <v>20</v>
      </c>
      <c r="C188" t="s">
        <v>18</v>
      </c>
      <c r="D188">
        <v>48031.74</v>
      </c>
      <c r="E188">
        <v>6516</v>
      </c>
      <c r="F188">
        <v>6.7000000000000004E-2</v>
      </c>
      <c r="G188">
        <v>14</v>
      </c>
      <c r="H188">
        <v>99</v>
      </c>
      <c r="I188">
        <v>0.48</v>
      </c>
      <c r="J188">
        <v>1</v>
      </c>
      <c r="K188">
        <v>4.3</v>
      </c>
      <c r="L188">
        <v>765906.95</v>
      </c>
      <c r="M188">
        <v>114005.9</v>
      </c>
    </row>
    <row r="189" spans="1:13">
      <c r="A189" s="2">
        <v>45748</v>
      </c>
      <c r="B189" t="s">
        <v>20</v>
      </c>
      <c r="C189" t="s">
        <v>18</v>
      </c>
      <c r="D189">
        <v>72784.800000000003</v>
      </c>
      <c r="E189">
        <v>7932</v>
      </c>
      <c r="F189">
        <v>9.4E-2</v>
      </c>
      <c r="G189">
        <v>20</v>
      </c>
      <c r="H189">
        <v>74.900000000000006</v>
      </c>
      <c r="I189">
        <v>13.62</v>
      </c>
      <c r="J189">
        <v>0</v>
      </c>
      <c r="K189">
        <v>4.2</v>
      </c>
      <c r="L189">
        <v>712546.38</v>
      </c>
      <c r="M189">
        <v>101480.04</v>
      </c>
    </row>
    <row r="190" spans="1:13">
      <c r="A190" s="2">
        <v>45658</v>
      </c>
      <c r="B190" t="s">
        <v>15</v>
      </c>
      <c r="C190" t="s">
        <v>18</v>
      </c>
      <c r="D190">
        <v>71641.899999999994</v>
      </c>
      <c r="E190">
        <v>3506</v>
      </c>
      <c r="F190">
        <v>0</v>
      </c>
      <c r="G190">
        <v>11</v>
      </c>
      <c r="H190">
        <v>86.4</v>
      </c>
      <c r="I190">
        <v>7.77</v>
      </c>
      <c r="J190">
        <v>0</v>
      </c>
      <c r="K190">
        <v>4.0999999999999996</v>
      </c>
      <c r="L190">
        <v>625993.82999999996</v>
      </c>
      <c r="M190">
        <v>98960.320000000007</v>
      </c>
    </row>
    <row r="191" spans="1:13">
      <c r="A191" s="2">
        <v>45689</v>
      </c>
      <c r="B191" t="s">
        <v>15</v>
      </c>
      <c r="C191" t="s">
        <v>18</v>
      </c>
      <c r="D191">
        <v>55788.61</v>
      </c>
      <c r="E191">
        <v>2312</v>
      </c>
      <c r="F191">
        <v>5.8000000000000003E-2</v>
      </c>
      <c r="G191">
        <v>10</v>
      </c>
      <c r="H191">
        <v>91.3</v>
      </c>
      <c r="I191">
        <v>1.99</v>
      </c>
      <c r="J191">
        <v>0</v>
      </c>
      <c r="K191">
        <v>3.8</v>
      </c>
      <c r="L191">
        <v>550962.93000000005</v>
      </c>
      <c r="M191">
        <v>97144.58</v>
      </c>
    </row>
    <row r="192" spans="1:13">
      <c r="A192" s="2">
        <v>45717</v>
      </c>
      <c r="B192" t="s">
        <v>15</v>
      </c>
      <c r="C192" t="s">
        <v>18</v>
      </c>
      <c r="D192">
        <v>37705.879999999997</v>
      </c>
      <c r="E192">
        <v>1268</v>
      </c>
      <c r="F192">
        <v>0.25900000000000001</v>
      </c>
      <c r="G192">
        <v>9</v>
      </c>
      <c r="H192">
        <v>84.1</v>
      </c>
      <c r="I192">
        <v>4.7699999999999996</v>
      </c>
      <c r="J192">
        <v>0</v>
      </c>
      <c r="K192">
        <v>3.8</v>
      </c>
      <c r="L192">
        <v>443275.59</v>
      </c>
      <c r="M192">
        <v>53544.36</v>
      </c>
    </row>
    <row r="193" spans="1:13">
      <c r="A193" s="2">
        <v>45748</v>
      </c>
      <c r="B193" t="s">
        <v>15</v>
      </c>
      <c r="C193" t="s">
        <v>18</v>
      </c>
      <c r="D193">
        <v>54966.18</v>
      </c>
      <c r="E193">
        <v>4423</v>
      </c>
      <c r="F193">
        <v>0.186</v>
      </c>
      <c r="G193">
        <v>13</v>
      </c>
      <c r="H193">
        <v>88.7</v>
      </c>
      <c r="I193">
        <v>0.2</v>
      </c>
      <c r="J193">
        <v>0</v>
      </c>
      <c r="K193">
        <v>4.4000000000000004</v>
      </c>
      <c r="L193">
        <v>554012.06999999995</v>
      </c>
      <c r="M193">
        <v>81101.62</v>
      </c>
    </row>
    <row r="194" spans="1:13">
      <c r="A194" s="2">
        <v>45658</v>
      </c>
      <c r="B194" t="s">
        <v>27</v>
      </c>
      <c r="C194" t="s">
        <v>16</v>
      </c>
      <c r="D194">
        <v>81796.740000000005</v>
      </c>
      <c r="E194">
        <v>6177</v>
      </c>
      <c r="F194">
        <v>0.16400000000000001</v>
      </c>
      <c r="G194">
        <v>14</v>
      </c>
      <c r="H194">
        <v>87.9</v>
      </c>
      <c r="I194">
        <v>0.53</v>
      </c>
      <c r="J194">
        <v>0</v>
      </c>
      <c r="K194">
        <v>3.2</v>
      </c>
      <c r="L194">
        <v>643428.85</v>
      </c>
      <c r="M194">
        <v>94477.63</v>
      </c>
    </row>
    <row r="195" spans="1:13">
      <c r="A195" s="2">
        <v>45689</v>
      </c>
      <c r="B195" t="s">
        <v>27</v>
      </c>
      <c r="C195" t="s">
        <v>16</v>
      </c>
      <c r="D195">
        <v>51133.43</v>
      </c>
      <c r="E195">
        <v>5150</v>
      </c>
      <c r="F195">
        <v>0.15</v>
      </c>
      <c r="G195">
        <v>12</v>
      </c>
      <c r="H195">
        <v>88.5</v>
      </c>
      <c r="I195">
        <v>1.54</v>
      </c>
      <c r="J195">
        <v>0</v>
      </c>
      <c r="K195">
        <v>3.2</v>
      </c>
      <c r="L195">
        <v>611924.27</v>
      </c>
      <c r="M195">
        <v>115488.75</v>
      </c>
    </row>
    <row r="196" spans="1:13">
      <c r="A196" s="2">
        <v>45717</v>
      </c>
      <c r="B196" t="s">
        <v>27</v>
      </c>
      <c r="C196" t="s">
        <v>16</v>
      </c>
      <c r="D196">
        <v>40220.18</v>
      </c>
      <c r="E196">
        <v>3783</v>
      </c>
      <c r="F196">
        <v>8.8999999999999996E-2</v>
      </c>
      <c r="G196">
        <v>14</v>
      </c>
      <c r="H196">
        <v>86.6</v>
      </c>
      <c r="I196">
        <v>3.63</v>
      </c>
      <c r="J196">
        <v>0</v>
      </c>
      <c r="K196">
        <v>3.7</v>
      </c>
      <c r="L196">
        <v>559422.02</v>
      </c>
      <c r="M196">
        <v>73528.740000000005</v>
      </c>
    </row>
    <row r="197" spans="1:13">
      <c r="A197" s="2">
        <v>45748</v>
      </c>
      <c r="B197" t="s">
        <v>27</v>
      </c>
      <c r="C197" t="s">
        <v>16</v>
      </c>
      <c r="D197">
        <v>41657.64</v>
      </c>
      <c r="E197">
        <v>3135</v>
      </c>
      <c r="F197">
        <v>0.22900000000000001</v>
      </c>
      <c r="G197">
        <v>7</v>
      </c>
      <c r="H197">
        <v>85.4</v>
      </c>
      <c r="I197">
        <v>13.48</v>
      </c>
      <c r="J197">
        <v>0</v>
      </c>
      <c r="L197">
        <v>449465.06</v>
      </c>
      <c r="M197">
        <v>65694.78</v>
      </c>
    </row>
    <row r="198" spans="1:13">
      <c r="A198" s="2">
        <v>45658</v>
      </c>
      <c r="B198" t="s">
        <v>20</v>
      </c>
      <c r="C198" t="s">
        <v>16</v>
      </c>
      <c r="D198">
        <v>71851.45</v>
      </c>
      <c r="E198">
        <v>4970</v>
      </c>
      <c r="F198">
        <v>9.8000000000000004E-2</v>
      </c>
      <c r="G198">
        <v>11</v>
      </c>
      <c r="H198">
        <v>89.6</v>
      </c>
      <c r="I198">
        <v>0.2</v>
      </c>
      <c r="J198">
        <v>0</v>
      </c>
      <c r="K198">
        <v>4.2</v>
      </c>
      <c r="L198">
        <v>691447.43</v>
      </c>
      <c r="M198">
        <v>114077.69</v>
      </c>
    </row>
    <row r="199" spans="1:13">
      <c r="A199" s="2">
        <v>45689</v>
      </c>
      <c r="B199" t="s">
        <v>20</v>
      </c>
      <c r="C199" t="s">
        <v>16</v>
      </c>
      <c r="D199">
        <v>54002.83</v>
      </c>
      <c r="E199">
        <v>4366</v>
      </c>
      <c r="F199">
        <v>2.7E-2</v>
      </c>
      <c r="G199">
        <v>15</v>
      </c>
      <c r="H199">
        <v>90.6</v>
      </c>
      <c r="I199">
        <v>12.82</v>
      </c>
      <c r="J199">
        <v>0</v>
      </c>
      <c r="K199">
        <v>4.5999999999999996</v>
      </c>
      <c r="L199">
        <v>574066.61</v>
      </c>
      <c r="M199">
        <v>124674.67</v>
      </c>
    </row>
    <row r="200" spans="1:13">
      <c r="A200" s="2">
        <v>45717</v>
      </c>
      <c r="B200" t="s">
        <v>20</v>
      </c>
      <c r="C200" t="s">
        <v>16</v>
      </c>
      <c r="D200">
        <v>54479.33</v>
      </c>
      <c r="E200">
        <v>5012</v>
      </c>
      <c r="F200">
        <v>0.28399999999999997</v>
      </c>
      <c r="G200">
        <v>13</v>
      </c>
      <c r="H200">
        <v>86</v>
      </c>
      <c r="I200">
        <v>2.2400000000000002</v>
      </c>
      <c r="J200">
        <v>1</v>
      </c>
      <c r="K200">
        <v>4.3</v>
      </c>
      <c r="L200">
        <v>578949.84</v>
      </c>
      <c r="M200">
        <v>80253.649999999994</v>
      </c>
    </row>
    <row r="201" spans="1:13">
      <c r="A201" s="2">
        <v>45748</v>
      </c>
      <c r="B201" t="s">
        <v>20</v>
      </c>
      <c r="C201" t="s">
        <v>16</v>
      </c>
      <c r="D201">
        <v>61391.8</v>
      </c>
      <c r="E201">
        <v>5575</v>
      </c>
      <c r="F201">
        <v>0.189</v>
      </c>
      <c r="G201">
        <v>18</v>
      </c>
      <c r="H201">
        <v>90</v>
      </c>
      <c r="I201">
        <v>1.8</v>
      </c>
      <c r="J201">
        <v>0</v>
      </c>
      <c r="K201">
        <v>4.8</v>
      </c>
      <c r="L201">
        <v>735786.64</v>
      </c>
      <c r="M201">
        <v>126540.66</v>
      </c>
    </row>
    <row r="202" spans="1:13">
      <c r="A202" s="2">
        <v>45658</v>
      </c>
      <c r="B202" t="s">
        <v>15</v>
      </c>
      <c r="C202" t="s">
        <v>21</v>
      </c>
      <c r="D202">
        <v>22312.93</v>
      </c>
      <c r="E202">
        <v>5955</v>
      </c>
      <c r="F202">
        <v>0.123</v>
      </c>
      <c r="G202">
        <v>13</v>
      </c>
      <c r="H202">
        <v>84.2</v>
      </c>
      <c r="I202">
        <v>0.41</v>
      </c>
      <c r="J202">
        <v>1</v>
      </c>
      <c r="K202">
        <v>4.5999999999999996</v>
      </c>
      <c r="L202">
        <v>598904.9</v>
      </c>
      <c r="M202">
        <v>72861</v>
      </c>
    </row>
    <row r="203" spans="1:13">
      <c r="A203" s="2">
        <v>45689</v>
      </c>
      <c r="B203" t="s">
        <v>15</v>
      </c>
      <c r="C203" t="s">
        <v>21</v>
      </c>
      <c r="D203">
        <v>78111.97</v>
      </c>
      <c r="E203">
        <v>6389</v>
      </c>
      <c r="F203">
        <v>0.15</v>
      </c>
      <c r="G203">
        <v>13</v>
      </c>
      <c r="H203">
        <v>83.9</v>
      </c>
      <c r="I203">
        <v>3.05</v>
      </c>
      <c r="J203">
        <v>0</v>
      </c>
      <c r="K203">
        <v>4.8</v>
      </c>
      <c r="L203">
        <v>787715.51</v>
      </c>
      <c r="M203">
        <v>128969.62</v>
      </c>
    </row>
    <row r="204" spans="1:13">
      <c r="A204" s="2">
        <v>45717</v>
      </c>
      <c r="B204" t="s">
        <v>15</v>
      </c>
      <c r="C204" t="s">
        <v>21</v>
      </c>
      <c r="D204">
        <v>35203.230000000003</v>
      </c>
      <c r="E204">
        <v>6896</v>
      </c>
      <c r="F204">
        <v>3.2000000000000001E-2</v>
      </c>
      <c r="G204">
        <v>14</v>
      </c>
      <c r="H204">
        <v>80.8</v>
      </c>
      <c r="I204">
        <v>8.44</v>
      </c>
      <c r="J204">
        <v>1</v>
      </c>
      <c r="K204">
        <v>5</v>
      </c>
      <c r="L204">
        <v>607084.92000000004</v>
      </c>
      <c r="M204">
        <v>98558.49</v>
      </c>
    </row>
    <row r="205" spans="1:13">
      <c r="A205" s="2">
        <v>45748</v>
      </c>
      <c r="B205" t="s">
        <v>15</v>
      </c>
      <c r="C205" t="s">
        <v>21</v>
      </c>
      <c r="D205">
        <v>64104.28</v>
      </c>
      <c r="E205">
        <v>6015</v>
      </c>
      <c r="F205">
        <v>0.127</v>
      </c>
      <c r="G205">
        <v>15</v>
      </c>
      <c r="H205">
        <v>88.7</v>
      </c>
      <c r="I205">
        <v>0.78</v>
      </c>
      <c r="J205">
        <v>0</v>
      </c>
      <c r="K205">
        <v>4</v>
      </c>
      <c r="L205">
        <v>650795.49</v>
      </c>
      <c r="M205">
        <v>103035.89</v>
      </c>
    </row>
    <row r="206" spans="1:13">
      <c r="A206" s="2">
        <v>45658</v>
      </c>
      <c r="B206" t="s">
        <v>15</v>
      </c>
      <c r="C206" t="s">
        <v>28</v>
      </c>
      <c r="D206">
        <v>92090.14</v>
      </c>
      <c r="E206">
        <v>9476</v>
      </c>
      <c r="F206">
        <v>7.0000000000000007E-2</v>
      </c>
      <c r="G206">
        <v>24</v>
      </c>
      <c r="H206">
        <v>94.3</v>
      </c>
      <c r="I206">
        <v>0.87</v>
      </c>
      <c r="J206">
        <v>0</v>
      </c>
      <c r="K206">
        <v>3.7</v>
      </c>
      <c r="L206">
        <v>825060.52</v>
      </c>
      <c r="M206">
        <v>143613.15</v>
      </c>
    </row>
    <row r="207" spans="1:13">
      <c r="A207" s="2">
        <v>45689</v>
      </c>
      <c r="B207" t="s">
        <v>15</v>
      </c>
      <c r="C207" t="s">
        <v>28</v>
      </c>
      <c r="D207">
        <v>54300.87</v>
      </c>
      <c r="E207">
        <v>7875</v>
      </c>
      <c r="F207">
        <v>0.107</v>
      </c>
      <c r="G207">
        <v>19</v>
      </c>
      <c r="H207">
        <v>94.1</v>
      </c>
      <c r="I207">
        <v>0.95</v>
      </c>
      <c r="J207">
        <v>0</v>
      </c>
      <c r="K207">
        <v>3.7</v>
      </c>
      <c r="L207">
        <v>795464.47</v>
      </c>
      <c r="M207">
        <v>161150.51999999999</v>
      </c>
    </row>
    <row r="208" spans="1:13">
      <c r="A208" s="2">
        <v>45717</v>
      </c>
      <c r="B208" t="s">
        <v>15</v>
      </c>
      <c r="C208" t="s">
        <v>28</v>
      </c>
      <c r="D208">
        <v>37983.35</v>
      </c>
      <c r="E208">
        <v>9283</v>
      </c>
      <c r="F208">
        <v>0.14899999999999999</v>
      </c>
      <c r="G208">
        <v>19</v>
      </c>
      <c r="H208">
        <v>83.2</v>
      </c>
      <c r="I208">
        <v>3.82</v>
      </c>
      <c r="J208">
        <v>0</v>
      </c>
      <c r="K208">
        <v>3.7</v>
      </c>
      <c r="L208">
        <v>671868.59</v>
      </c>
      <c r="M208">
        <v>71003.28</v>
      </c>
    </row>
    <row r="209" spans="1:13">
      <c r="A209" s="2">
        <v>45748</v>
      </c>
      <c r="B209" t="s">
        <v>15</v>
      </c>
      <c r="C209" t="s">
        <v>28</v>
      </c>
      <c r="D209">
        <v>56413.83</v>
      </c>
      <c r="E209">
        <v>8303</v>
      </c>
      <c r="F209">
        <v>0.11600000000000001</v>
      </c>
      <c r="G209">
        <v>18</v>
      </c>
      <c r="H209">
        <v>93.6</v>
      </c>
      <c r="I209">
        <v>2.7</v>
      </c>
      <c r="J209">
        <v>0</v>
      </c>
      <c r="K209">
        <v>3.7</v>
      </c>
      <c r="L209">
        <v>675917.63</v>
      </c>
      <c r="M209">
        <v>112564.75</v>
      </c>
    </row>
    <row r="210" spans="1:13">
      <c r="A210" s="2">
        <v>45658</v>
      </c>
      <c r="B210" t="s">
        <v>15</v>
      </c>
      <c r="C210" t="s">
        <v>18</v>
      </c>
      <c r="D210">
        <v>63457.19</v>
      </c>
      <c r="E210">
        <v>10125</v>
      </c>
      <c r="F210">
        <v>9.7000000000000003E-2</v>
      </c>
      <c r="G210">
        <v>24</v>
      </c>
      <c r="H210">
        <v>87</v>
      </c>
      <c r="I210">
        <v>3.84</v>
      </c>
      <c r="J210">
        <v>1</v>
      </c>
      <c r="K210">
        <v>3.7</v>
      </c>
      <c r="L210">
        <v>810446.53</v>
      </c>
      <c r="M210">
        <v>200575.34</v>
      </c>
    </row>
    <row r="211" spans="1:13">
      <c r="A211" s="2">
        <v>45689</v>
      </c>
      <c r="B211" t="s">
        <v>15</v>
      </c>
      <c r="C211" t="s">
        <v>18</v>
      </c>
      <c r="D211">
        <v>62949.7</v>
      </c>
      <c r="E211">
        <v>9458</v>
      </c>
      <c r="F211">
        <v>0.17100000000000001</v>
      </c>
      <c r="G211">
        <v>19</v>
      </c>
      <c r="H211">
        <v>84.9</v>
      </c>
      <c r="I211">
        <v>5.09</v>
      </c>
      <c r="J211">
        <v>0</v>
      </c>
      <c r="K211">
        <v>3.3</v>
      </c>
      <c r="L211">
        <v>691288.19</v>
      </c>
      <c r="M211">
        <v>159074.14000000001</v>
      </c>
    </row>
    <row r="212" spans="1:13">
      <c r="A212" s="2">
        <v>45717</v>
      </c>
      <c r="B212" t="s">
        <v>15</v>
      </c>
      <c r="C212" t="s">
        <v>18</v>
      </c>
      <c r="D212">
        <v>107970.19</v>
      </c>
      <c r="E212">
        <v>12870</v>
      </c>
      <c r="F212">
        <v>2.9000000000000001E-2</v>
      </c>
      <c r="G212">
        <v>31</v>
      </c>
      <c r="H212">
        <v>91.7</v>
      </c>
      <c r="I212">
        <v>3.82</v>
      </c>
      <c r="J212">
        <v>1</v>
      </c>
      <c r="K212">
        <v>3.7</v>
      </c>
      <c r="L212">
        <v>946833.54</v>
      </c>
      <c r="M212">
        <v>184540.31</v>
      </c>
    </row>
    <row r="213" spans="1:13">
      <c r="A213" s="2">
        <v>45748</v>
      </c>
      <c r="B213" t="s">
        <v>15</v>
      </c>
      <c r="C213" t="s">
        <v>18</v>
      </c>
      <c r="D213">
        <v>49405.75</v>
      </c>
      <c r="E213">
        <v>9752</v>
      </c>
      <c r="F213">
        <v>9.2999999999999999E-2</v>
      </c>
      <c r="G213">
        <v>21</v>
      </c>
      <c r="H213">
        <v>87</v>
      </c>
      <c r="I213">
        <v>12.28</v>
      </c>
      <c r="J213">
        <v>0</v>
      </c>
      <c r="K213">
        <v>4.0999999999999996</v>
      </c>
      <c r="L213">
        <v>761963.23</v>
      </c>
      <c r="M213">
        <v>150113.60999999999</v>
      </c>
    </row>
    <row r="214" spans="1:13">
      <c r="A214" s="2">
        <v>45658</v>
      </c>
      <c r="B214" t="s">
        <v>27</v>
      </c>
      <c r="C214" t="s">
        <v>16</v>
      </c>
      <c r="D214">
        <v>50887.46</v>
      </c>
      <c r="E214">
        <v>9505</v>
      </c>
      <c r="F214">
        <v>9.0999999999999998E-2</v>
      </c>
      <c r="G214">
        <v>25</v>
      </c>
      <c r="H214">
        <v>89.7</v>
      </c>
      <c r="I214">
        <v>2.8</v>
      </c>
      <c r="J214">
        <v>0</v>
      </c>
      <c r="K214">
        <v>4.3</v>
      </c>
      <c r="L214">
        <v>812152.6</v>
      </c>
      <c r="M214">
        <v>138419.43</v>
      </c>
    </row>
    <row r="215" spans="1:13">
      <c r="A215" s="2">
        <v>45689</v>
      </c>
      <c r="B215" t="s">
        <v>27</v>
      </c>
      <c r="C215" t="s">
        <v>16</v>
      </c>
      <c r="D215">
        <v>41819.449999999997</v>
      </c>
      <c r="E215">
        <v>9412</v>
      </c>
      <c r="F215">
        <v>0.15</v>
      </c>
      <c r="G215">
        <v>22</v>
      </c>
      <c r="H215">
        <v>91</v>
      </c>
      <c r="I215">
        <v>3.67</v>
      </c>
      <c r="J215">
        <v>0</v>
      </c>
      <c r="K215">
        <v>4.2</v>
      </c>
      <c r="L215">
        <v>804975.5</v>
      </c>
      <c r="M215">
        <v>140054.5</v>
      </c>
    </row>
    <row r="216" spans="1:13">
      <c r="A216" s="2">
        <v>45717</v>
      </c>
      <c r="B216" t="s">
        <v>27</v>
      </c>
      <c r="C216" t="s">
        <v>16</v>
      </c>
      <c r="D216">
        <v>35296.54</v>
      </c>
      <c r="E216">
        <v>9644</v>
      </c>
      <c r="F216">
        <v>0</v>
      </c>
      <c r="G216">
        <v>22</v>
      </c>
      <c r="H216">
        <v>88</v>
      </c>
      <c r="I216">
        <v>2.81</v>
      </c>
      <c r="J216">
        <v>0</v>
      </c>
      <c r="K216">
        <v>4.7</v>
      </c>
      <c r="L216">
        <v>752321.72</v>
      </c>
      <c r="M216">
        <v>137788.51</v>
      </c>
    </row>
    <row r="217" spans="1:13">
      <c r="A217" s="2">
        <v>45748</v>
      </c>
      <c r="B217" t="s">
        <v>27</v>
      </c>
      <c r="C217" t="s">
        <v>16</v>
      </c>
      <c r="D217">
        <v>47391.09</v>
      </c>
      <c r="E217">
        <v>11224</v>
      </c>
      <c r="F217">
        <v>0.14699999999999999</v>
      </c>
      <c r="G217">
        <v>25</v>
      </c>
      <c r="H217">
        <v>88.4</v>
      </c>
      <c r="I217">
        <v>2.44</v>
      </c>
      <c r="J217">
        <v>0</v>
      </c>
      <c r="K217">
        <v>4.9000000000000004</v>
      </c>
      <c r="L217">
        <v>836908.24</v>
      </c>
      <c r="M217">
        <v>141090.26</v>
      </c>
    </row>
    <row r="218" spans="1:13">
      <c r="A218" s="2">
        <v>45658</v>
      </c>
      <c r="B218" t="s">
        <v>20</v>
      </c>
      <c r="C218" t="s">
        <v>21</v>
      </c>
      <c r="D218">
        <v>69180.539999999994</v>
      </c>
      <c r="E218">
        <v>5394</v>
      </c>
      <c r="F218">
        <v>0.126</v>
      </c>
      <c r="G218">
        <v>12</v>
      </c>
      <c r="H218">
        <v>82.9</v>
      </c>
      <c r="I218">
        <v>3.27</v>
      </c>
      <c r="J218">
        <v>0</v>
      </c>
      <c r="K218">
        <v>3.3</v>
      </c>
      <c r="L218">
        <v>674289.1</v>
      </c>
      <c r="M218">
        <v>117773.79</v>
      </c>
    </row>
    <row r="219" spans="1:13">
      <c r="A219" s="2">
        <v>45689</v>
      </c>
      <c r="B219" t="s">
        <v>20</v>
      </c>
      <c r="C219" t="s">
        <v>21</v>
      </c>
      <c r="D219">
        <v>33987.33</v>
      </c>
      <c r="E219">
        <v>5014</v>
      </c>
      <c r="F219">
        <v>0.246</v>
      </c>
      <c r="G219">
        <v>17</v>
      </c>
      <c r="H219">
        <v>94.3</v>
      </c>
      <c r="I219">
        <v>10.34</v>
      </c>
      <c r="J219">
        <v>0</v>
      </c>
      <c r="K219">
        <v>3.9</v>
      </c>
      <c r="L219">
        <v>622892.42000000004</v>
      </c>
      <c r="M219">
        <v>101032.52</v>
      </c>
    </row>
    <row r="220" spans="1:13">
      <c r="A220" s="2">
        <v>45717</v>
      </c>
      <c r="B220" t="s">
        <v>20</v>
      </c>
      <c r="C220" t="s">
        <v>21</v>
      </c>
      <c r="D220">
        <v>58785.33</v>
      </c>
      <c r="E220">
        <v>4467</v>
      </c>
      <c r="F220">
        <v>0.22900000000000001</v>
      </c>
      <c r="G220">
        <v>14</v>
      </c>
      <c r="H220">
        <v>90.7</v>
      </c>
      <c r="I220">
        <v>1.92</v>
      </c>
      <c r="J220">
        <v>0</v>
      </c>
      <c r="K220">
        <v>3.7</v>
      </c>
      <c r="L220">
        <v>673348.56</v>
      </c>
      <c r="M220">
        <v>69464.59</v>
      </c>
    </row>
    <row r="221" spans="1:13">
      <c r="A221" s="2">
        <v>45748</v>
      </c>
      <c r="B221" t="s">
        <v>20</v>
      </c>
      <c r="C221" t="s">
        <v>21</v>
      </c>
      <c r="D221">
        <v>16451.849999999999</v>
      </c>
      <c r="E221">
        <v>4678</v>
      </c>
      <c r="F221">
        <v>0.13300000000000001</v>
      </c>
      <c r="G221">
        <v>11</v>
      </c>
      <c r="H221">
        <v>95.9</v>
      </c>
      <c r="I221">
        <v>3.1</v>
      </c>
      <c r="J221">
        <v>0</v>
      </c>
      <c r="K221">
        <v>3.9</v>
      </c>
      <c r="L221">
        <v>606278.30000000005</v>
      </c>
      <c r="M221">
        <v>102213.26</v>
      </c>
    </row>
    <row r="222" spans="1:13">
      <c r="A222" s="2">
        <v>45658</v>
      </c>
      <c r="B222" t="s">
        <v>15</v>
      </c>
      <c r="C222" t="s">
        <v>18</v>
      </c>
      <c r="D222">
        <v>53367.73</v>
      </c>
      <c r="E222">
        <v>7291</v>
      </c>
      <c r="F222">
        <v>0.14599999999999999</v>
      </c>
      <c r="G222">
        <v>18</v>
      </c>
      <c r="H222">
        <v>90.6</v>
      </c>
      <c r="I222">
        <v>6.34</v>
      </c>
      <c r="J222">
        <v>1</v>
      </c>
      <c r="K222">
        <v>3.8</v>
      </c>
      <c r="L222">
        <v>712219.81</v>
      </c>
      <c r="M222">
        <v>85906.54</v>
      </c>
    </row>
    <row r="223" spans="1:13">
      <c r="A223" s="2">
        <v>45689</v>
      </c>
      <c r="B223" t="s">
        <v>15</v>
      </c>
      <c r="C223" t="s">
        <v>18</v>
      </c>
      <c r="D223">
        <v>27194.639999999999</v>
      </c>
      <c r="E223">
        <v>7404</v>
      </c>
      <c r="F223">
        <v>8.7999999999999995E-2</v>
      </c>
      <c r="G223">
        <v>18</v>
      </c>
      <c r="H223">
        <v>90.2</v>
      </c>
      <c r="I223">
        <v>1.2</v>
      </c>
      <c r="J223">
        <v>0</v>
      </c>
      <c r="K223">
        <v>3.4</v>
      </c>
      <c r="L223">
        <v>672670.54</v>
      </c>
      <c r="M223">
        <v>132684.18</v>
      </c>
    </row>
    <row r="224" spans="1:13">
      <c r="A224" s="2">
        <v>45717</v>
      </c>
      <c r="B224" t="s">
        <v>15</v>
      </c>
      <c r="C224" t="s">
        <v>18</v>
      </c>
      <c r="D224">
        <v>66962.740000000005</v>
      </c>
      <c r="E224">
        <v>7880</v>
      </c>
      <c r="F224">
        <v>0.11600000000000001</v>
      </c>
      <c r="G224">
        <v>19</v>
      </c>
      <c r="H224">
        <v>90.4</v>
      </c>
      <c r="I224">
        <v>4.5</v>
      </c>
      <c r="J224">
        <v>0</v>
      </c>
      <c r="K224">
        <v>3.3</v>
      </c>
      <c r="L224">
        <v>732667.92</v>
      </c>
      <c r="M224">
        <v>128654.46</v>
      </c>
    </row>
    <row r="225" spans="1:13">
      <c r="A225" s="2">
        <v>45748</v>
      </c>
      <c r="B225" t="s">
        <v>15</v>
      </c>
      <c r="C225" t="s">
        <v>18</v>
      </c>
      <c r="D225">
        <v>73540.990000000005</v>
      </c>
      <c r="E225">
        <v>8773</v>
      </c>
      <c r="F225">
        <v>3.5000000000000003E-2</v>
      </c>
      <c r="G225">
        <v>21</v>
      </c>
      <c r="H225">
        <v>84.4</v>
      </c>
      <c r="I225">
        <v>6.68</v>
      </c>
      <c r="J225">
        <v>0</v>
      </c>
      <c r="K225">
        <v>3.6</v>
      </c>
      <c r="L225">
        <v>723531.4</v>
      </c>
      <c r="M225">
        <v>108794.85</v>
      </c>
    </row>
    <row r="226" spans="1:13">
      <c r="A226" s="2">
        <v>45658</v>
      </c>
      <c r="B226" t="s">
        <v>15</v>
      </c>
      <c r="C226" t="s">
        <v>28</v>
      </c>
      <c r="D226">
        <v>68212.289999999994</v>
      </c>
      <c r="E226">
        <v>4713</v>
      </c>
      <c r="F226">
        <v>0.19800000000000001</v>
      </c>
      <c r="G226">
        <v>15</v>
      </c>
      <c r="H226">
        <v>82.6</v>
      </c>
      <c r="I226">
        <v>4.07</v>
      </c>
      <c r="J226">
        <v>1</v>
      </c>
      <c r="K226">
        <v>3</v>
      </c>
      <c r="L226">
        <v>641564.6</v>
      </c>
      <c r="M226">
        <v>90468.96</v>
      </c>
    </row>
    <row r="227" spans="1:13">
      <c r="A227" s="2">
        <v>45689</v>
      </c>
      <c r="B227" t="s">
        <v>15</v>
      </c>
      <c r="C227" t="s">
        <v>28</v>
      </c>
      <c r="D227">
        <v>57225.98</v>
      </c>
      <c r="E227">
        <v>2842</v>
      </c>
      <c r="F227">
        <v>0.112</v>
      </c>
      <c r="G227">
        <v>10</v>
      </c>
      <c r="H227">
        <v>79.5</v>
      </c>
      <c r="I227">
        <v>5.45</v>
      </c>
      <c r="J227">
        <v>0</v>
      </c>
      <c r="K227">
        <v>3.4</v>
      </c>
      <c r="L227">
        <v>536545.49</v>
      </c>
      <c r="M227">
        <v>97917.45</v>
      </c>
    </row>
    <row r="228" spans="1:13">
      <c r="A228" s="2">
        <v>45717</v>
      </c>
      <c r="B228" t="s">
        <v>15</v>
      </c>
      <c r="C228" t="s">
        <v>28</v>
      </c>
      <c r="D228">
        <v>42932.02</v>
      </c>
      <c r="E228">
        <v>3872</v>
      </c>
      <c r="F228">
        <v>0.17100000000000001</v>
      </c>
      <c r="G228">
        <v>12</v>
      </c>
      <c r="H228">
        <v>83.2</v>
      </c>
      <c r="I228">
        <v>15.58</v>
      </c>
      <c r="J228">
        <v>0</v>
      </c>
      <c r="K228">
        <v>3.3</v>
      </c>
      <c r="L228">
        <v>527681.56000000006</v>
      </c>
      <c r="M228">
        <v>63153.05</v>
      </c>
    </row>
    <row r="229" spans="1:13">
      <c r="A229" s="2">
        <v>45748</v>
      </c>
      <c r="B229" t="s">
        <v>15</v>
      </c>
      <c r="C229" t="s">
        <v>28</v>
      </c>
      <c r="D229">
        <v>39341.449999999997</v>
      </c>
      <c r="E229">
        <v>1375</v>
      </c>
      <c r="F229">
        <v>9.2999999999999999E-2</v>
      </c>
      <c r="G229">
        <v>5</v>
      </c>
      <c r="H229">
        <v>95</v>
      </c>
      <c r="I229">
        <v>5.32</v>
      </c>
      <c r="J229">
        <v>0</v>
      </c>
      <c r="L229">
        <v>529598.93999999994</v>
      </c>
      <c r="M229">
        <v>84334.33</v>
      </c>
    </row>
    <row r="230" spans="1:13">
      <c r="A230" s="2">
        <v>45658</v>
      </c>
      <c r="B230" t="s">
        <v>15</v>
      </c>
      <c r="C230" t="s">
        <v>18</v>
      </c>
      <c r="D230">
        <v>37324.230000000003</v>
      </c>
      <c r="E230">
        <v>5957</v>
      </c>
      <c r="F230">
        <v>7.0999999999999994E-2</v>
      </c>
      <c r="G230">
        <v>12</v>
      </c>
      <c r="H230">
        <v>85.9</v>
      </c>
      <c r="I230">
        <v>0.37</v>
      </c>
      <c r="J230">
        <v>0</v>
      </c>
      <c r="K230">
        <v>3.8</v>
      </c>
      <c r="L230">
        <v>570963.31000000006</v>
      </c>
      <c r="M230">
        <v>87342.25</v>
      </c>
    </row>
    <row r="231" spans="1:13">
      <c r="A231" s="2">
        <v>45689</v>
      </c>
      <c r="B231" t="s">
        <v>15</v>
      </c>
      <c r="C231" t="s">
        <v>18</v>
      </c>
      <c r="D231">
        <v>113736</v>
      </c>
      <c r="E231">
        <v>8961</v>
      </c>
      <c r="F231">
        <v>0.20200000000000001</v>
      </c>
      <c r="G231">
        <v>24</v>
      </c>
      <c r="H231">
        <v>86.2</v>
      </c>
      <c r="I231">
        <v>21.63</v>
      </c>
      <c r="J231">
        <v>0</v>
      </c>
      <c r="K231">
        <v>4</v>
      </c>
      <c r="L231">
        <v>870937.4</v>
      </c>
      <c r="M231">
        <v>175282.74</v>
      </c>
    </row>
    <row r="232" spans="1:13">
      <c r="A232" s="2">
        <v>45717</v>
      </c>
      <c r="B232" t="s">
        <v>15</v>
      </c>
      <c r="C232" t="s">
        <v>18</v>
      </c>
      <c r="D232">
        <v>33173.949999999997</v>
      </c>
      <c r="E232">
        <v>6545</v>
      </c>
      <c r="F232">
        <v>0.16900000000000001</v>
      </c>
      <c r="G232">
        <v>15</v>
      </c>
      <c r="H232">
        <v>84.4</v>
      </c>
      <c r="I232">
        <v>2.48</v>
      </c>
      <c r="J232">
        <v>0</v>
      </c>
      <c r="K232">
        <v>3.9</v>
      </c>
      <c r="L232">
        <v>596969.27</v>
      </c>
      <c r="M232">
        <v>105669.51</v>
      </c>
    </row>
    <row r="233" spans="1:13">
      <c r="A233" s="2">
        <v>45748</v>
      </c>
      <c r="B233" t="s">
        <v>15</v>
      </c>
      <c r="C233" t="s">
        <v>18</v>
      </c>
      <c r="D233">
        <v>25818.080000000002</v>
      </c>
      <c r="E233">
        <v>5457</v>
      </c>
      <c r="F233">
        <v>0</v>
      </c>
      <c r="G233">
        <v>11</v>
      </c>
      <c r="H233">
        <v>95.4</v>
      </c>
      <c r="J233">
        <v>0</v>
      </c>
      <c r="K233">
        <v>3.7</v>
      </c>
      <c r="L233">
        <v>647512.85</v>
      </c>
      <c r="M233">
        <v>153835.57</v>
      </c>
    </row>
    <row r="234" spans="1:13">
      <c r="A234" s="2">
        <v>45658</v>
      </c>
      <c r="B234" t="s">
        <v>27</v>
      </c>
      <c r="C234" t="s">
        <v>16</v>
      </c>
      <c r="D234">
        <v>47241.919999999998</v>
      </c>
      <c r="E234">
        <v>4264</v>
      </c>
      <c r="F234">
        <v>6.9000000000000006E-2</v>
      </c>
      <c r="G234">
        <v>13</v>
      </c>
      <c r="H234">
        <v>95.3</v>
      </c>
      <c r="I234">
        <v>0.85</v>
      </c>
      <c r="J234">
        <v>0</v>
      </c>
      <c r="K234">
        <v>4.3</v>
      </c>
      <c r="L234">
        <v>658072.14</v>
      </c>
      <c r="M234">
        <v>110595.89</v>
      </c>
    </row>
    <row r="235" spans="1:13">
      <c r="A235" s="2">
        <v>45689</v>
      </c>
      <c r="B235" t="s">
        <v>27</v>
      </c>
      <c r="C235" t="s">
        <v>16</v>
      </c>
      <c r="D235">
        <v>61650.79</v>
      </c>
      <c r="E235">
        <v>5321</v>
      </c>
      <c r="F235">
        <v>0.126</v>
      </c>
      <c r="G235">
        <v>17</v>
      </c>
      <c r="H235">
        <v>89.2</v>
      </c>
      <c r="I235">
        <v>2.13</v>
      </c>
      <c r="J235">
        <v>0</v>
      </c>
      <c r="K235">
        <v>4</v>
      </c>
      <c r="L235">
        <v>723305.11</v>
      </c>
      <c r="M235">
        <v>128468.7</v>
      </c>
    </row>
    <row r="236" spans="1:13">
      <c r="A236" s="2">
        <v>45717</v>
      </c>
      <c r="B236" t="s">
        <v>27</v>
      </c>
      <c r="C236" t="s">
        <v>16</v>
      </c>
      <c r="D236">
        <v>62582.71</v>
      </c>
      <c r="E236">
        <v>5479</v>
      </c>
      <c r="F236">
        <v>4.8000000000000001E-2</v>
      </c>
      <c r="G236">
        <v>16</v>
      </c>
      <c r="H236">
        <v>81.2</v>
      </c>
      <c r="I236">
        <v>1.46</v>
      </c>
      <c r="J236">
        <v>0</v>
      </c>
      <c r="K236">
        <v>4.5</v>
      </c>
      <c r="L236">
        <v>640666.53</v>
      </c>
      <c r="M236">
        <v>134919.16</v>
      </c>
    </row>
    <row r="237" spans="1:13">
      <c r="A237" s="2">
        <v>45748</v>
      </c>
      <c r="B237" t="s">
        <v>27</v>
      </c>
      <c r="C237" t="s">
        <v>16</v>
      </c>
      <c r="D237">
        <v>47944.14</v>
      </c>
      <c r="E237">
        <v>6169</v>
      </c>
      <c r="F237">
        <v>0.11899999999999999</v>
      </c>
      <c r="G237">
        <v>17</v>
      </c>
      <c r="H237">
        <v>92.2</v>
      </c>
      <c r="I237">
        <v>3.02</v>
      </c>
      <c r="J237">
        <v>0</v>
      </c>
      <c r="K237">
        <v>4.0999999999999996</v>
      </c>
      <c r="L237">
        <v>670629.48</v>
      </c>
      <c r="M237">
        <v>100140.8</v>
      </c>
    </row>
    <row r="238" spans="1:13">
      <c r="A238" s="2">
        <v>45658</v>
      </c>
      <c r="B238" t="s">
        <v>27</v>
      </c>
      <c r="C238" t="s">
        <v>28</v>
      </c>
      <c r="D238">
        <v>46495.4</v>
      </c>
      <c r="E238">
        <v>9908</v>
      </c>
      <c r="F238">
        <v>0.121</v>
      </c>
      <c r="G238">
        <v>22</v>
      </c>
      <c r="H238">
        <v>89.4</v>
      </c>
      <c r="I238">
        <v>3.22</v>
      </c>
      <c r="J238">
        <v>0</v>
      </c>
      <c r="K238">
        <v>3.7</v>
      </c>
      <c r="L238">
        <v>721079.35</v>
      </c>
      <c r="M238">
        <v>115295.05</v>
      </c>
    </row>
    <row r="239" spans="1:13">
      <c r="A239" s="2">
        <v>45689</v>
      </c>
      <c r="B239" t="s">
        <v>27</v>
      </c>
      <c r="C239" t="s">
        <v>28</v>
      </c>
      <c r="D239">
        <v>72961.95</v>
      </c>
      <c r="E239">
        <v>9996</v>
      </c>
      <c r="F239">
        <v>0.106</v>
      </c>
      <c r="G239">
        <v>22</v>
      </c>
      <c r="H239">
        <v>89.1</v>
      </c>
      <c r="I239">
        <v>15.66</v>
      </c>
      <c r="J239">
        <v>0</v>
      </c>
      <c r="K239">
        <v>3.4</v>
      </c>
      <c r="L239">
        <v>810355.02</v>
      </c>
      <c r="M239">
        <v>131510</v>
      </c>
    </row>
    <row r="240" spans="1:13">
      <c r="A240" s="2">
        <v>45717</v>
      </c>
      <c r="B240" t="s">
        <v>27</v>
      </c>
      <c r="C240" t="s">
        <v>28</v>
      </c>
      <c r="D240">
        <v>59060.05</v>
      </c>
      <c r="E240">
        <v>9702</v>
      </c>
      <c r="F240">
        <v>0.20100000000000001</v>
      </c>
      <c r="G240">
        <v>23</v>
      </c>
      <c r="H240">
        <v>80.900000000000006</v>
      </c>
      <c r="I240">
        <v>6.96</v>
      </c>
      <c r="J240">
        <v>0</v>
      </c>
      <c r="K240">
        <v>3.2</v>
      </c>
      <c r="L240">
        <v>761919.25</v>
      </c>
      <c r="M240">
        <v>111893.06</v>
      </c>
    </row>
    <row r="241" spans="1:13">
      <c r="A241" s="2">
        <v>45748</v>
      </c>
      <c r="B241" t="s">
        <v>27</v>
      </c>
      <c r="C241" t="s">
        <v>28</v>
      </c>
      <c r="D241">
        <v>26248.1</v>
      </c>
      <c r="E241">
        <v>9314</v>
      </c>
      <c r="F241">
        <v>0.186</v>
      </c>
      <c r="G241">
        <v>21</v>
      </c>
      <c r="H241">
        <v>83.7</v>
      </c>
      <c r="I241">
        <v>4.62</v>
      </c>
      <c r="J241">
        <v>0</v>
      </c>
      <c r="K241">
        <v>3.3</v>
      </c>
      <c r="L241">
        <v>737070.18</v>
      </c>
      <c r="M241">
        <v>117593.97</v>
      </c>
    </row>
    <row r="242" spans="1:13">
      <c r="A242" s="2">
        <v>45658</v>
      </c>
      <c r="B242" t="s">
        <v>24</v>
      </c>
      <c r="C242" t="s">
        <v>21</v>
      </c>
      <c r="D242">
        <v>69900.12</v>
      </c>
      <c r="E242">
        <v>8055</v>
      </c>
      <c r="F242">
        <v>0.28100000000000003</v>
      </c>
      <c r="G242">
        <v>22</v>
      </c>
      <c r="H242">
        <v>85.6</v>
      </c>
      <c r="I242">
        <v>10.68</v>
      </c>
      <c r="J242">
        <v>1</v>
      </c>
      <c r="K242">
        <v>2.9</v>
      </c>
      <c r="L242">
        <v>776992.93</v>
      </c>
      <c r="M242">
        <v>101598.32</v>
      </c>
    </row>
    <row r="243" spans="1:13">
      <c r="A243" s="2">
        <v>45689</v>
      </c>
      <c r="B243" t="s">
        <v>24</v>
      </c>
      <c r="C243" t="s">
        <v>21</v>
      </c>
      <c r="D243">
        <v>51781.599999999999</v>
      </c>
      <c r="E243">
        <v>5648</v>
      </c>
      <c r="F243">
        <v>5.8999999999999997E-2</v>
      </c>
      <c r="G243">
        <v>13</v>
      </c>
      <c r="H243">
        <v>85.5</v>
      </c>
      <c r="I243">
        <v>4.04</v>
      </c>
      <c r="J243">
        <v>0</v>
      </c>
      <c r="K243">
        <v>3.7</v>
      </c>
      <c r="L243">
        <v>676337.41</v>
      </c>
      <c r="M243">
        <v>104355.77</v>
      </c>
    </row>
    <row r="244" spans="1:13">
      <c r="A244" s="2">
        <v>45717</v>
      </c>
      <c r="B244" t="s">
        <v>24</v>
      </c>
      <c r="C244" t="s">
        <v>21</v>
      </c>
      <c r="D244">
        <v>70799.64</v>
      </c>
      <c r="E244">
        <v>10076</v>
      </c>
      <c r="F244">
        <v>0.152</v>
      </c>
      <c r="G244">
        <v>24</v>
      </c>
      <c r="H244">
        <v>84.8</v>
      </c>
      <c r="I244">
        <v>1.87</v>
      </c>
      <c r="J244">
        <v>0</v>
      </c>
      <c r="K244">
        <v>3.5</v>
      </c>
      <c r="L244">
        <v>828219.67</v>
      </c>
      <c r="M244">
        <v>179806.87</v>
      </c>
    </row>
    <row r="245" spans="1:13">
      <c r="A245" s="2">
        <v>45748</v>
      </c>
      <c r="B245" t="s">
        <v>24</v>
      </c>
      <c r="C245" t="s">
        <v>21</v>
      </c>
      <c r="D245">
        <v>53546.34</v>
      </c>
      <c r="E245">
        <v>8004</v>
      </c>
      <c r="F245">
        <v>0</v>
      </c>
      <c r="G245">
        <v>21</v>
      </c>
      <c r="H245">
        <v>95.2</v>
      </c>
      <c r="I245">
        <v>2.83</v>
      </c>
      <c r="J245">
        <v>0</v>
      </c>
      <c r="K245">
        <v>3</v>
      </c>
      <c r="L245">
        <v>763159.92</v>
      </c>
      <c r="M245">
        <v>177104.87</v>
      </c>
    </row>
    <row r="246" spans="1:13">
      <c r="A246" s="2">
        <v>45658</v>
      </c>
      <c r="B246" t="s">
        <v>15</v>
      </c>
      <c r="C246" t="s">
        <v>18</v>
      </c>
      <c r="D246">
        <v>76942.2</v>
      </c>
      <c r="E246">
        <v>8934</v>
      </c>
      <c r="F246">
        <v>8.4000000000000005E-2</v>
      </c>
      <c r="G246">
        <v>20</v>
      </c>
      <c r="H246">
        <v>91</v>
      </c>
      <c r="I246">
        <v>0.95</v>
      </c>
      <c r="J246">
        <v>0</v>
      </c>
      <c r="K246">
        <v>3.2</v>
      </c>
      <c r="L246">
        <v>802001.68</v>
      </c>
      <c r="M246">
        <v>159715.82</v>
      </c>
    </row>
    <row r="247" spans="1:13">
      <c r="A247" s="2">
        <v>45689</v>
      </c>
      <c r="B247" t="s">
        <v>15</v>
      </c>
      <c r="C247" t="s">
        <v>18</v>
      </c>
      <c r="D247">
        <v>48060.78</v>
      </c>
      <c r="E247">
        <v>8733</v>
      </c>
      <c r="F247">
        <v>0</v>
      </c>
      <c r="G247">
        <v>20</v>
      </c>
      <c r="H247">
        <v>89.9</v>
      </c>
      <c r="I247">
        <v>0.8</v>
      </c>
      <c r="J247">
        <v>0</v>
      </c>
      <c r="K247">
        <v>3.4</v>
      </c>
      <c r="L247">
        <v>750471.34</v>
      </c>
      <c r="M247">
        <v>133788.04</v>
      </c>
    </row>
    <row r="248" spans="1:13">
      <c r="A248" s="2">
        <v>45717</v>
      </c>
      <c r="B248" t="s">
        <v>15</v>
      </c>
      <c r="C248" t="s">
        <v>18</v>
      </c>
      <c r="D248">
        <v>57390.04</v>
      </c>
      <c r="E248">
        <v>7374</v>
      </c>
      <c r="F248">
        <v>0.21</v>
      </c>
      <c r="G248">
        <v>21</v>
      </c>
      <c r="H248">
        <v>91.8</v>
      </c>
      <c r="I248">
        <v>0.2</v>
      </c>
      <c r="J248">
        <v>0</v>
      </c>
      <c r="K248">
        <v>3.1</v>
      </c>
      <c r="L248">
        <v>679230.86</v>
      </c>
      <c r="M248">
        <v>106927.58</v>
      </c>
    </row>
    <row r="249" spans="1:13">
      <c r="A249" s="2">
        <v>45748</v>
      </c>
      <c r="B249" t="s">
        <v>15</v>
      </c>
      <c r="C249" t="s">
        <v>18</v>
      </c>
      <c r="D249">
        <v>21536.18</v>
      </c>
      <c r="E249">
        <v>8119</v>
      </c>
      <c r="F249">
        <v>0.22700000000000001</v>
      </c>
      <c r="G249">
        <v>20</v>
      </c>
      <c r="H249">
        <v>90.4</v>
      </c>
      <c r="I249">
        <v>1.7</v>
      </c>
      <c r="J249">
        <v>0</v>
      </c>
      <c r="K249">
        <v>3.3</v>
      </c>
      <c r="L249">
        <v>679888.74</v>
      </c>
      <c r="M249">
        <v>83406.89</v>
      </c>
    </row>
    <row r="250" spans="1:13">
      <c r="A250" s="2">
        <v>45658</v>
      </c>
      <c r="B250" t="s">
        <v>20</v>
      </c>
      <c r="C250" t="s">
        <v>18</v>
      </c>
      <c r="D250">
        <v>40923.67</v>
      </c>
      <c r="E250">
        <v>3875</v>
      </c>
      <c r="F250">
        <v>0.15</v>
      </c>
      <c r="G250">
        <v>10</v>
      </c>
      <c r="H250">
        <v>96.1</v>
      </c>
      <c r="J250">
        <v>0</v>
      </c>
      <c r="K250">
        <v>3.8</v>
      </c>
      <c r="L250">
        <v>606783.67000000004</v>
      </c>
      <c r="M250">
        <v>74515.87</v>
      </c>
    </row>
    <row r="251" spans="1:13">
      <c r="A251" s="2">
        <v>45689</v>
      </c>
      <c r="B251" t="s">
        <v>20</v>
      </c>
      <c r="C251" t="s">
        <v>18</v>
      </c>
      <c r="D251">
        <v>72932.55</v>
      </c>
      <c r="E251">
        <v>5765</v>
      </c>
      <c r="F251">
        <v>2.5999999999999999E-2</v>
      </c>
      <c r="G251">
        <v>17</v>
      </c>
      <c r="H251">
        <v>81.8</v>
      </c>
      <c r="I251">
        <v>5.0999999999999996</v>
      </c>
      <c r="J251">
        <v>0</v>
      </c>
      <c r="K251">
        <v>3.6</v>
      </c>
      <c r="L251">
        <v>642751.42000000004</v>
      </c>
      <c r="M251">
        <v>131942.15</v>
      </c>
    </row>
    <row r="252" spans="1:13">
      <c r="A252" s="2">
        <v>45717</v>
      </c>
      <c r="B252" t="s">
        <v>20</v>
      </c>
      <c r="C252" t="s">
        <v>18</v>
      </c>
      <c r="D252">
        <v>38361.93</v>
      </c>
      <c r="E252">
        <v>6322</v>
      </c>
      <c r="F252">
        <v>0.27300000000000002</v>
      </c>
      <c r="G252">
        <v>15</v>
      </c>
      <c r="H252">
        <v>88.4</v>
      </c>
      <c r="I252">
        <v>0.83</v>
      </c>
      <c r="J252">
        <v>0</v>
      </c>
      <c r="K252">
        <v>4</v>
      </c>
      <c r="L252">
        <v>647953.78</v>
      </c>
      <c r="M252">
        <v>118497.43</v>
      </c>
    </row>
    <row r="253" spans="1:13">
      <c r="A253" s="2">
        <v>45748</v>
      </c>
      <c r="B253" t="s">
        <v>20</v>
      </c>
      <c r="C253" t="s">
        <v>18</v>
      </c>
      <c r="D253">
        <v>97480.94</v>
      </c>
      <c r="E253">
        <v>6840</v>
      </c>
      <c r="F253">
        <v>8.6999999999999994E-2</v>
      </c>
      <c r="G253">
        <v>14</v>
      </c>
      <c r="H253">
        <v>79.2</v>
      </c>
      <c r="I253">
        <v>1.1399999999999999</v>
      </c>
      <c r="J253">
        <v>0</v>
      </c>
      <c r="K253">
        <v>4</v>
      </c>
      <c r="L253">
        <v>729440.45</v>
      </c>
      <c r="M253">
        <v>87614.29</v>
      </c>
    </row>
    <row r="254" spans="1:13">
      <c r="A254" s="2">
        <v>45658</v>
      </c>
      <c r="B254" t="s">
        <v>24</v>
      </c>
      <c r="C254" t="s">
        <v>21</v>
      </c>
      <c r="D254">
        <v>81801.8</v>
      </c>
      <c r="E254">
        <v>6782</v>
      </c>
      <c r="F254">
        <v>0.05</v>
      </c>
      <c r="G254">
        <v>16</v>
      </c>
      <c r="H254">
        <v>99</v>
      </c>
      <c r="I254">
        <v>9.5399999999999991</v>
      </c>
      <c r="J254">
        <v>0</v>
      </c>
      <c r="K254">
        <v>3.7</v>
      </c>
      <c r="L254">
        <v>764949</v>
      </c>
      <c r="M254">
        <v>148322.43</v>
      </c>
    </row>
    <row r="255" spans="1:13">
      <c r="A255" s="2">
        <v>45689</v>
      </c>
      <c r="B255" t="s">
        <v>24</v>
      </c>
      <c r="C255" t="s">
        <v>21</v>
      </c>
      <c r="D255">
        <v>63582.11</v>
      </c>
      <c r="E255">
        <v>6856</v>
      </c>
      <c r="F255">
        <v>7.3999999999999996E-2</v>
      </c>
      <c r="G255">
        <v>17</v>
      </c>
      <c r="H255">
        <v>89.5</v>
      </c>
      <c r="I255">
        <v>5.48</v>
      </c>
      <c r="J255">
        <v>0</v>
      </c>
      <c r="K255">
        <v>3.2</v>
      </c>
      <c r="L255">
        <v>799046.94</v>
      </c>
      <c r="M255">
        <v>144553.64000000001</v>
      </c>
    </row>
    <row r="256" spans="1:13">
      <c r="A256" s="2">
        <v>45717</v>
      </c>
      <c r="B256" t="s">
        <v>24</v>
      </c>
      <c r="C256" t="s">
        <v>21</v>
      </c>
      <c r="D256">
        <v>75412.740000000005</v>
      </c>
      <c r="E256">
        <v>5641</v>
      </c>
      <c r="F256">
        <v>5.8999999999999997E-2</v>
      </c>
      <c r="G256">
        <v>13</v>
      </c>
      <c r="H256">
        <v>87.9</v>
      </c>
      <c r="I256">
        <v>0.84</v>
      </c>
      <c r="J256">
        <v>0</v>
      </c>
      <c r="K256">
        <v>3.6</v>
      </c>
      <c r="L256">
        <v>720079.54</v>
      </c>
      <c r="M256">
        <v>119499.47</v>
      </c>
    </row>
    <row r="257" spans="1:13">
      <c r="A257" s="2">
        <v>45748</v>
      </c>
      <c r="B257" t="s">
        <v>24</v>
      </c>
      <c r="C257" t="s">
        <v>21</v>
      </c>
      <c r="D257">
        <v>36290.080000000002</v>
      </c>
      <c r="E257">
        <v>5787</v>
      </c>
      <c r="F257">
        <v>0</v>
      </c>
      <c r="G257">
        <v>17</v>
      </c>
      <c r="H257">
        <v>88.3</v>
      </c>
      <c r="I257">
        <v>4.1900000000000004</v>
      </c>
      <c r="J257">
        <v>0</v>
      </c>
      <c r="K257">
        <v>4.0999999999999996</v>
      </c>
      <c r="L257">
        <v>612390.14</v>
      </c>
      <c r="M257">
        <v>108985.74</v>
      </c>
    </row>
    <row r="258" spans="1:13">
      <c r="A258" s="2">
        <v>45658</v>
      </c>
      <c r="B258" t="s">
        <v>24</v>
      </c>
      <c r="C258" t="s">
        <v>28</v>
      </c>
      <c r="D258">
        <v>65272.58</v>
      </c>
      <c r="E258">
        <v>8165</v>
      </c>
      <c r="F258">
        <v>5.0999999999999997E-2</v>
      </c>
      <c r="G258">
        <v>19</v>
      </c>
      <c r="H258">
        <v>87.8</v>
      </c>
      <c r="I258">
        <v>1.26</v>
      </c>
      <c r="J258">
        <v>1</v>
      </c>
      <c r="K258">
        <v>4.3</v>
      </c>
      <c r="L258">
        <v>840108.12</v>
      </c>
      <c r="M258">
        <v>126587.01</v>
      </c>
    </row>
    <row r="259" spans="1:13">
      <c r="A259" s="2">
        <v>45689</v>
      </c>
      <c r="B259" t="s">
        <v>24</v>
      </c>
      <c r="C259" t="s">
        <v>28</v>
      </c>
      <c r="D259">
        <v>28670.43</v>
      </c>
      <c r="E259">
        <v>7574</v>
      </c>
      <c r="F259">
        <v>0.114</v>
      </c>
      <c r="G259">
        <v>19</v>
      </c>
      <c r="H259">
        <v>82.7</v>
      </c>
      <c r="I259">
        <v>2.74</v>
      </c>
      <c r="J259">
        <v>0</v>
      </c>
      <c r="K259">
        <v>4.5999999999999996</v>
      </c>
      <c r="L259">
        <v>697888.09</v>
      </c>
      <c r="M259">
        <v>116249.87</v>
      </c>
    </row>
    <row r="260" spans="1:13">
      <c r="A260" s="2">
        <v>45717</v>
      </c>
      <c r="B260" t="s">
        <v>24</v>
      </c>
      <c r="C260" t="s">
        <v>28</v>
      </c>
      <c r="D260">
        <v>44189.34</v>
      </c>
      <c r="E260">
        <v>8634</v>
      </c>
      <c r="F260">
        <v>0.14299999999999999</v>
      </c>
      <c r="G260">
        <v>19</v>
      </c>
      <c r="H260">
        <v>87.5</v>
      </c>
      <c r="I260">
        <v>3.69</v>
      </c>
      <c r="J260">
        <v>0</v>
      </c>
      <c r="K260">
        <v>4.4000000000000004</v>
      </c>
      <c r="L260">
        <v>746115.59</v>
      </c>
      <c r="M260">
        <v>94662.96</v>
      </c>
    </row>
    <row r="261" spans="1:13">
      <c r="A261" s="2">
        <v>45748</v>
      </c>
      <c r="B261" t="s">
        <v>24</v>
      </c>
      <c r="C261" t="s">
        <v>28</v>
      </c>
      <c r="D261">
        <v>38397.82</v>
      </c>
      <c r="E261">
        <v>7836</v>
      </c>
      <c r="F261">
        <v>7.0000000000000001E-3</v>
      </c>
      <c r="G261">
        <v>21</v>
      </c>
      <c r="H261">
        <v>92.2</v>
      </c>
      <c r="I261">
        <v>1.82</v>
      </c>
      <c r="J261">
        <v>0</v>
      </c>
      <c r="K261">
        <v>3.6</v>
      </c>
      <c r="L261">
        <v>776110.32</v>
      </c>
      <c r="M261">
        <v>139676.21</v>
      </c>
    </row>
    <row r="262" spans="1:13">
      <c r="A262" s="2">
        <v>45658</v>
      </c>
      <c r="B262" t="s">
        <v>27</v>
      </c>
      <c r="C262" t="s">
        <v>18</v>
      </c>
      <c r="D262">
        <v>14519.37</v>
      </c>
      <c r="E262">
        <v>3047</v>
      </c>
      <c r="F262">
        <v>0.13500000000000001</v>
      </c>
      <c r="G262">
        <v>10</v>
      </c>
      <c r="H262">
        <v>90.3</v>
      </c>
      <c r="I262">
        <v>6.62</v>
      </c>
      <c r="J262">
        <v>0</v>
      </c>
      <c r="K262">
        <v>4.2</v>
      </c>
      <c r="L262">
        <v>528852.62</v>
      </c>
      <c r="M262">
        <v>68426.210000000006</v>
      </c>
    </row>
    <row r="263" spans="1:13">
      <c r="A263" s="2">
        <v>45689</v>
      </c>
      <c r="B263" t="s">
        <v>27</v>
      </c>
      <c r="C263" t="s">
        <v>18</v>
      </c>
      <c r="D263">
        <v>43288.2</v>
      </c>
      <c r="E263">
        <v>4783</v>
      </c>
      <c r="F263">
        <v>0.16900000000000001</v>
      </c>
      <c r="G263">
        <v>13</v>
      </c>
      <c r="H263">
        <v>87.3</v>
      </c>
      <c r="J263">
        <v>0</v>
      </c>
      <c r="K263">
        <v>4.2</v>
      </c>
      <c r="L263">
        <v>605751.32999999996</v>
      </c>
      <c r="M263">
        <v>60685.53</v>
      </c>
    </row>
    <row r="264" spans="1:13">
      <c r="A264" s="2">
        <v>45717</v>
      </c>
      <c r="B264" t="s">
        <v>27</v>
      </c>
      <c r="C264" t="s">
        <v>18</v>
      </c>
      <c r="D264">
        <v>51450.55</v>
      </c>
      <c r="E264">
        <v>4902</v>
      </c>
      <c r="F264">
        <v>8.5999999999999993E-2</v>
      </c>
      <c r="G264">
        <v>11</v>
      </c>
      <c r="H264">
        <v>83.7</v>
      </c>
      <c r="I264">
        <v>6.92</v>
      </c>
      <c r="J264">
        <v>1</v>
      </c>
      <c r="K264">
        <v>4.2</v>
      </c>
      <c r="L264">
        <v>677640.65</v>
      </c>
      <c r="M264">
        <v>111610.89</v>
      </c>
    </row>
    <row r="265" spans="1:13">
      <c r="A265" s="2">
        <v>45748</v>
      </c>
      <c r="B265" t="s">
        <v>27</v>
      </c>
      <c r="C265" t="s">
        <v>18</v>
      </c>
      <c r="D265">
        <v>58688.26</v>
      </c>
      <c r="E265">
        <v>4022</v>
      </c>
      <c r="F265">
        <v>0.217</v>
      </c>
      <c r="G265">
        <v>12</v>
      </c>
      <c r="H265">
        <v>93.8</v>
      </c>
      <c r="I265">
        <v>11.78</v>
      </c>
      <c r="J265">
        <v>0</v>
      </c>
      <c r="K265">
        <v>3.7</v>
      </c>
      <c r="L265">
        <v>636613.23</v>
      </c>
      <c r="M265">
        <v>78908.350000000006</v>
      </c>
    </row>
    <row r="266" spans="1:13">
      <c r="A266" s="2">
        <v>45658</v>
      </c>
      <c r="B266" t="s">
        <v>15</v>
      </c>
      <c r="C266" t="s">
        <v>18</v>
      </c>
      <c r="D266">
        <v>58981.91</v>
      </c>
      <c r="E266">
        <v>7324</v>
      </c>
      <c r="F266">
        <v>9.4E-2</v>
      </c>
      <c r="G266">
        <v>15</v>
      </c>
      <c r="H266">
        <v>95.8</v>
      </c>
      <c r="I266">
        <v>0.5</v>
      </c>
      <c r="J266">
        <v>0</v>
      </c>
      <c r="K266">
        <v>3.5</v>
      </c>
      <c r="L266">
        <v>708985.19</v>
      </c>
      <c r="M266">
        <v>125368.16</v>
      </c>
    </row>
    <row r="267" spans="1:13">
      <c r="A267" s="2">
        <v>45689</v>
      </c>
      <c r="B267" t="s">
        <v>15</v>
      </c>
      <c r="C267" t="s">
        <v>18</v>
      </c>
      <c r="D267">
        <v>73454.539999999994</v>
      </c>
      <c r="E267">
        <v>8129</v>
      </c>
      <c r="F267">
        <v>0.21099999999999999</v>
      </c>
      <c r="G267">
        <v>20</v>
      </c>
      <c r="H267">
        <v>85.2</v>
      </c>
      <c r="I267">
        <v>0.88</v>
      </c>
      <c r="J267">
        <v>0</v>
      </c>
      <c r="K267">
        <v>3.7</v>
      </c>
      <c r="L267">
        <v>767792.94</v>
      </c>
      <c r="M267">
        <v>96235.77</v>
      </c>
    </row>
    <row r="268" spans="1:13">
      <c r="A268" s="2">
        <v>45717</v>
      </c>
      <c r="B268" t="s">
        <v>15</v>
      </c>
      <c r="C268" t="s">
        <v>18</v>
      </c>
      <c r="D268">
        <v>56602.39</v>
      </c>
      <c r="E268">
        <v>7969</v>
      </c>
      <c r="F268">
        <v>0.17</v>
      </c>
      <c r="G268">
        <v>21</v>
      </c>
      <c r="H268">
        <v>88.3</v>
      </c>
      <c r="I268">
        <v>2.25</v>
      </c>
      <c r="J268">
        <v>0</v>
      </c>
      <c r="K268">
        <v>3.7</v>
      </c>
      <c r="L268">
        <v>745580.51</v>
      </c>
      <c r="M268">
        <v>116273.68</v>
      </c>
    </row>
    <row r="269" spans="1:13">
      <c r="A269" s="2">
        <v>45748</v>
      </c>
      <c r="B269" t="s">
        <v>15</v>
      </c>
      <c r="C269" t="s">
        <v>18</v>
      </c>
      <c r="D269">
        <v>67722.289999999994</v>
      </c>
      <c r="E269">
        <v>7240</v>
      </c>
      <c r="F269">
        <v>2.5999999999999999E-2</v>
      </c>
      <c r="G269">
        <v>15</v>
      </c>
      <c r="H269">
        <v>92.9</v>
      </c>
      <c r="I269">
        <v>0.28999999999999998</v>
      </c>
      <c r="J269">
        <v>0</v>
      </c>
      <c r="K269">
        <v>3.5</v>
      </c>
      <c r="L269">
        <v>762328.31</v>
      </c>
      <c r="M269">
        <v>159158.19</v>
      </c>
    </row>
    <row r="270" spans="1:13">
      <c r="A270" s="2">
        <v>45658</v>
      </c>
      <c r="B270" t="s">
        <v>15</v>
      </c>
      <c r="C270" t="s">
        <v>28</v>
      </c>
      <c r="D270">
        <v>48752.92</v>
      </c>
      <c r="E270">
        <v>8052</v>
      </c>
      <c r="F270">
        <v>0.106</v>
      </c>
      <c r="G270">
        <v>16</v>
      </c>
      <c r="H270">
        <v>94.9</v>
      </c>
      <c r="I270">
        <v>0.65</v>
      </c>
      <c r="J270">
        <v>0</v>
      </c>
      <c r="K270">
        <v>3.6</v>
      </c>
      <c r="L270">
        <v>660633.99</v>
      </c>
      <c r="M270">
        <v>118768.66</v>
      </c>
    </row>
    <row r="271" spans="1:13">
      <c r="A271" s="2">
        <v>45689</v>
      </c>
      <c r="B271" t="s">
        <v>15</v>
      </c>
      <c r="C271" t="s">
        <v>28</v>
      </c>
      <c r="D271">
        <v>23914.97</v>
      </c>
      <c r="E271">
        <v>8018</v>
      </c>
      <c r="F271">
        <v>0.13900000000000001</v>
      </c>
      <c r="G271">
        <v>20</v>
      </c>
      <c r="H271">
        <v>89</v>
      </c>
      <c r="I271">
        <v>0.2</v>
      </c>
      <c r="J271">
        <v>0</v>
      </c>
      <c r="K271">
        <v>3.5</v>
      </c>
      <c r="L271">
        <v>739374.56</v>
      </c>
      <c r="M271">
        <v>121032.29</v>
      </c>
    </row>
    <row r="272" spans="1:13">
      <c r="A272" s="2">
        <v>45717</v>
      </c>
      <c r="B272" t="s">
        <v>15</v>
      </c>
      <c r="C272" t="s">
        <v>28</v>
      </c>
      <c r="D272">
        <v>61995.3</v>
      </c>
      <c r="E272">
        <v>10192</v>
      </c>
      <c r="F272">
        <v>0.19800000000000001</v>
      </c>
      <c r="G272">
        <v>21</v>
      </c>
      <c r="H272">
        <v>87.6</v>
      </c>
      <c r="I272">
        <v>3.63</v>
      </c>
      <c r="J272">
        <v>1</v>
      </c>
      <c r="K272">
        <v>3.8</v>
      </c>
      <c r="L272">
        <v>799756.46</v>
      </c>
      <c r="M272">
        <v>105052.93</v>
      </c>
    </row>
    <row r="273" spans="1:13">
      <c r="A273" s="2">
        <v>45748</v>
      </c>
      <c r="B273" t="s">
        <v>15</v>
      </c>
      <c r="C273" t="s">
        <v>28</v>
      </c>
      <c r="D273">
        <v>29344.93</v>
      </c>
      <c r="E273">
        <v>7446</v>
      </c>
      <c r="F273">
        <v>0.111</v>
      </c>
      <c r="G273">
        <v>15</v>
      </c>
      <c r="H273">
        <v>86.2</v>
      </c>
      <c r="I273">
        <v>0.2</v>
      </c>
      <c r="J273">
        <v>0</v>
      </c>
      <c r="K273">
        <v>3.2</v>
      </c>
      <c r="L273">
        <v>593343</v>
      </c>
      <c r="M273">
        <v>82832.240000000005</v>
      </c>
    </row>
    <row r="274" spans="1:13">
      <c r="A274" s="2">
        <v>45658</v>
      </c>
      <c r="B274" t="s">
        <v>27</v>
      </c>
      <c r="C274" t="s">
        <v>18</v>
      </c>
      <c r="D274">
        <v>50532.17</v>
      </c>
      <c r="E274">
        <v>5689</v>
      </c>
      <c r="F274">
        <v>5.1999999999999998E-2</v>
      </c>
      <c r="G274">
        <v>17</v>
      </c>
      <c r="H274">
        <v>85.6</v>
      </c>
      <c r="I274">
        <v>6.23</v>
      </c>
      <c r="J274">
        <v>0</v>
      </c>
      <c r="K274">
        <v>3.3</v>
      </c>
      <c r="L274">
        <v>645039.97</v>
      </c>
      <c r="M274">
        <v>83093.33</v>
      </c>
    </row>
    <row r="275" spans="1:13">
      <c r="A275" s="2">
        <v>45689</v>
      </c>
      <c r="B275" t="s">
        <v>27</v>
      </c>
      <c r="C275" t="s">
        <v>18</v>
      </c>
      <c r="D275">
        <v>17562.57</v>
      </c>
      <c r="E275">
        <v>3326</v>
      </c>
      <c r="F275">
        <v>0.153</v>
      </c>
      <c r="G275">
        <v>14</v>
      </c>
      <c r="H275">
        <v>88.1</v>
      </c>
      <c r="I275">
        <v>1.04</v>
      </c>
      <c r="J275">
        <v>0</v>
      </c>
      <c r="K275">
        <v>3.1</v>
      </c>
      <c r="L275">
        <v>561597.32999999996</v>
      </c>
      <c r="M275">
        <v>75072.75</v>
      </c>
    </row>
    <row r="276" spans="1:13">
      <c r="A276" s="2">
        <v>45717</v>
      </c>
      <c r="B276" t="s">
        <v>27</v>
      </c>
      <c r="C276" t="s">
        <v>18</v>
      </c>
      <c r="D276">
        <v>47648.71</v>
      </c>
      <c r="E276">
        <v>5767</v>
      </c>
      <c r="F276">
        <v>0.14099999999999999</v>
      </c>
      <c r="G276">
        <v>17</v>
      </c>
      <c r="H276">
        <v>89.8</v>
      </c>
      <c r="I276">
        <v>1.76</v>
      </c>
      <c r="J276">
        <v>0</v>
      </c>
      <c r="K276">
        <v>3.1</v>
      </c>
      <c r="L276">
        <v>635837.74</v>
      </c>
      <c r="M276">
        <v>114740.64</v>
      </c>
    </row>
    <row r="277" spans="1:13">
      <c r="A277" s="2">
        <v>45748</v>
      </c>
      <c r="B277" t="s">
        <v>27</v>
      </c>
      <c r="C277" t="s">
        <v>18</v>
      </c>
      <c r="D277">
        <v>38297.58</v>
      </c>
      <c r="E277">
        <v>5893</v>
      </c>
      <c r="F277">
        <v>0.247</v>
      </c>
      <c r="G277">
        <v>18</v>
      </c>
      <c r="H277">
        <v>77.599999999999994</v>
      </c>
      <c r="I277">
        <v>2.86</v>
      </c>
      <c r="J277">
        <v>0</v>
      </c>
      <c r="K277">
        <v>3</v>
      </c>
      <c r="L277">
        <v>686737.87</v>
      </c>
      <c r="M277">
        <v>83839.67</v>
      </c>
    </row>
    <row r="278" spans="1:13">
      <c r="A278" s="2">
        <v>45658</v>
      </c>
      <c r="B278" t="s">
        <v>24</v>
      </c>
      <c r="C278" t="s">
        <v>16</v>
      </c>
      <c r="D278">
        <v>61784.11</v>
      </c>
      <c r="E278">
        <v>8564</v>
      </c>
      <c r="F278">
        <v>0.13</v>
      </c>
      <c r="G278">
        <v>17</v>
      </c>
      <c r="H278">
        <v>87.4</v>
      </c>
      <c r="I278">
        <v>18.14</v>
      </c>
      <c r="J278">
        <v>1</v>
      </c>
      <c r="K278">
        <v>3.4</v>
      </c>
      <c r="L278">
        <v>673076.34</v>
      </c>
      <c r="M278">
        <v>93899.76</v>
      </c>
    </row>
    <row r="279" spans="1:13">
      <c r="A279" s="2">
        <v>45689</v>
      </c>
      <c r="B279" t="s">
        <v>24</v>
      </c>
      <c r="C279" t="s">
        <v>16</v>
      </c>
      <c r="D279">
        <v>36832.33</v>
      </c>
      <c r="E279">
        <v>8001</v>
      </c>
      <c r="F279">
        <v>0</v>
      </c>
      <c r="G279">
        <v>19</v>
      </c>
      <c r="H279">
        <v>88.7</v>
      </c>
      <c r="I279">
        <v>3.39</v>
      </c>
      <c r="J279">
        <v>0</v>
      </c>
      <c r="K279">
        <v>4</v>
      </c>
      <c r="L279">
        <v>738548.42</v>
      </c>
      <c r="M279">
        <v>134282.76999999999</v>
      </c>
    </row>
    <row r="280" spans="1:13">
      <c r="A280" s="2">
        <v>45717</v>
      </c>
      <c r="B280" t="s">
        <v>24</v>
      </c>
      <c r="C280" t="s">
        <v>16</v>
      </c>
      <c r="D280">
        <v>48609.41</v>
      </c>
      <c r="E280">
        <v>9324</v>
      </c>
      <c r="F280">
        <v>0.21299999999999999</v>
      </c>
      <c r="G280">
        <v>18</v>
      </c>
      <c r="H280">
        <v>86.5</v>
      </c>
      <c r="I280">
        <v>1.44</v>
      </c>
      <c r="J280">
        <v>0</v>
      </c>
      <c r="K280">
        <v>3.9</v>
      </c>
      <c r="L280">
        <v>756619.77</v>
      </c>
      <c r="M280">
        <v>112057.69</v>
      </c>
    </row>
    <row r="281" spans="1:13">
      <c r="A281" s="2">
        <v>45748</v>
      </c>
      <c r="B281" t="s">
        <v>24</v>
      </c>
      <c r="C281" t="s">
        <v>16</v>
      </c>
      <c r="D281">
        <v>70284.06</v>
      </c>
      <c r="E281">
        <v>9109</v>
      </c>
      <c r="F281">
        <v>4.0000000000000001E-3</v>
      </c>
      <c r="G281">
        <v>23</v>
      </c>
      <c r="H281">
        <v>87</v>
      </c>
      <c r="I281">
        <v>3.65</v>
      </c>
      <c r="J281">
        <v>0</v>
      </c>
      <c r="K281">
        <v>3.7</v>
      </c>
      <c r="L281">
        <v>761122.42</v>
      </c>
      <c r="M281">
        <v>149802.04</v>
      </c>
    </row>
    <row r="282" spans="1:13">
      <c r="A282" s="2">
        <v>45658</v>
      </c>
      <c r="B282" t="s">
        <v>24</v>
      </c>
      <c r="C282" t="s">
        <v>18</v>
      </c>
      <c r="D282">
        <v>45940.39</v>
      </c>
      <c r="E282">
        <v>4022</v>
      </c>
      <c r="F282">
        <v>6.9000000000000006E-2</v>
      </c>
      <c r="G282">
        <v>10</v>
      </c>
      <c r="H282">
        <v>83</v>
      </c>
      <c r="I282">
        <v>1.23</v>
      </c>
      <c r="J282">
        <v>1</v>
      </c>
      <c r="K282">
        <v>3.8</v>
      </c>
      <c r="L282">
        <v>524899.56999999995</v>
      </c>
      <c r="M282">
        <v>63619.98</v>
      </c>
    </row>
    <row r="283" spans="1:13">
      <c r="A283" s="2">
        <v>45689</v>
      </c>
      <c r="B283" t="s">
        <v>24</v>
      </c>
      <c r="C283" t="s">
        <v>18</v>
      </c>
      <c r="D283">
        <v>34771.26</v>
      </c>
      <c r="E283">
        <v>4355</v>
      </c>
      <c r="F283">
        <v>5.0999999999999997E-2</v>
      </c>
      <c r="G283">
        <v>15</v>
      </c>
      <c r="H283">
        <v>87.9</v>
      </c>
      <c r="I283">
        <v>3.09</v>
      </c>
      <c r="J283">
        <v>0</v>
      </c>
      <c r="K283">
        <v>4</v>
      </c>
      <c r="L283">
        <v>555557.77</v>
      </c>
      <c r="M283">
        <v>86475.51</v>
      </c>
    </row>
    <row r="284" spans="1:13">
      <c r="A284" s="2">
        <v>45717</v>
      </c>
      <c r="B284" t="s">
        <v>24</v>
      </c>
      <c r="C284" t="s">
        <v>18</v>
      </c>
      <c r="D284">
        <v>66104.19</v>
      </c>
      <c r="E284">
        <v>5745</v>
      </c>
      <c r="F284">
        <v>7.0000000000000007E-2</v>
      </c>
      <c r="G284">
        <v>17</v>
      </c>
      <c r="H284">
        <v>95.8</v>
      </c>
      <c r="I284">
        <v>3.15</v>
      </c>
      <c r="J284">
        <v>0</v>
      </c>
      <c r="K284">
        <v>4</v>
      </c>
      <c r="L284">
        <v>714083.68</v>
      </c>
      <c r="M284">
        <v>127231.74</v>
      </c>
    </row>
    <row r="285" spans="1:13">
      <c r="A285" s="2">
        <v>45748</v>
      </c>
      <c r="B285" t="s">
        <v>24</v>
      </c>
      <c r="C285" t="s">
        <v>18</v>
      </c>
      <c r="D285">
        <v>18599.21</v>
      </c>
      <c r="E285">
        <v>3027</v>
      </c>
      <c r="F285">
        <v>0.122</v>
      </c>
      <c r="G285">
        <v>11</v>
      </c>
      <c r="H285">
        <v>80.900000000000006</v>
      </c>
      <c r="I285">
        <v>6.44</v>
      </c>
      <c r="J285">
        <v>0</v>
      </c>
      <c r="K285">
        <v>4.2</v>
      </c>
      <c r="L285">
        <v>497439.82</v>
      </c>
      <c r="M285">
        <v>93372.75</v>
      </c>
    </row>
    <row r="286" spans="1:13">
      <c r="A286" s="2">
        <v>45658</v>
      </c>
      <c r="B286" t="s">
        <v>27</v>
      </c>
      <c r="C286" t="s">
        <v>16</v>
      </c>
      <c r="D286">
        <v>60183.06</v>
      </c>
      <c r="E286">
        <v>5562</v>
      </c>
      <c r="F286">
        <v>8.9999999999999993E-3</v>
      </c>
      <c r="G286">
        <v>13</v>
      </c>
      <c r="H286">
        <v>86.3</v>
      </c>
      <c r="I286">
        <v>0.2</v>
      </c>
      <c r="J286">
        <v>1</v>
      </c>
      <c r="K286">
        <v>4.5</v>
      </c>
      <c r="L286">
        <v>636775.66</v>
      </c>
      <c r="M286">
        <v>122636.86</v>
      </c>
    </row>
    <row r="287" spans="1:13">
      <c r="A287" s="2">
        <v>45689</v>
      </c>
      <c r="B287" t="s">
        <v>27</v>
      </c>
      <c r="C287" t="s">
        <v>16</v>
      </c>
      <c r="D287">
        <v>74539.14</v>
      </c>
      <c r="E287">
        <v>4487</v>
      </c>
      <c r="F287">
        <v>0.14000000000000001</v>
      </c>
      <c r="G287">
        <v>10</v>
      </c>
      <c r="H287">
        <v>90.4</v>
      </c>
      <c r="I287">
        <v>0.59</v>
      </c>
      <c r="J287">
        <v>0</v>
      </c>
      <c r="K287">
        <v>4.5</v>
      </c>
      <c r="L287">
        <v>633009.53</v>
      </c>
      <c r="M287">
        <v>123782.67</v>
      </c>
    </row>
    <row r="288" spans="1:13">
      <c r="A288" s="2">
        <v>45717</v>
      </c>
      <c r="B288" t="s">
        <v>27</v>
      </c>
      <c r="C288" t="s">
        <v>16</v>
      </c>
      <c r="D288">
        <v>55371.97</v>
      </c>
      <c r="E288">
        <v>4162</v>
      </c>
      <c r="F288">
        <v>0.183</v>
      </c>
      <c r="G288">
        <v>11</v>
      </c>
      <c r="H288">
        <v>92</v>
      </c>
      <c r="I288">
        <v>0.2</v>
      </c>
      <c r="J288">
        <v>1</v>
      </c>
      <c r="K288">
        <v>4.2</v>
      </c>
      <c r="L288">
        <v>609949</v>
      </c>
      <c r="M288">
        <v>126789.25</v>
      </c>
    </row>
    <row r="289" spans="1:13">
      <c r="A289" s="2">
        <v>45748</v>
      </c>
      <c r="B289" t="s">
        <v>27</v>
      </c>
      <c r="C289" t="s">
        <v>16</v>
      </c>
      <c r="D289">
        <v>40928.69</v>
      </c>
      <c r="E289">
        <v>4094</v>
      </c>
      <c r="F289">
        <v>0.17399999999999999</v>
      </c>
      <c r="G289">
        <v>13</v>
      </c>
      <c r="H289">
        <v>82.4</v>
      </c>
      <c r="I289">
        <v>1.36</v>
      </c>
      <c r="J289">
        <v>0</v>
      </c>
      <c r="K289">
        <v>4.8</v>
      </c>
      <c r="L289">
        <v>548103.69999999995</v>
      </c>
      <c r="M289">
        <v>99905.52</v>
      </c>
    </row>
    <row r="290" spans="1:13">
      <c r="A290" s="2">
        <v>45658</v>
      </c>
      <c r="B290" t="s">
        <v>15</v>
      </c>
      <c r="C290" t="s">
        <v>16</v>
      </c>
      <c r="D290">
        <v>70012.41</v>
      </c>
      <c r="E290">
        <v>8484</v>
      </c>
      <c r="F290">
        <v>0.27300000000000002</v>
      </c>
      <c r="G290">
        <v>23</v>
      </c>
      <c r="H290">
        <v>72.900000000000006</v>
      </c>
      <c r="I290">
        <v>3.34</v>
      </c>
      <c r="J290">
        <v>0</v>
      </c>
      <c r="K290">
        <v>3.7</v>
      </c>
      <c r="L290">
        <v>729424.42</v>
      </c>
      <c r="M290">
        <v>75592.28</v>
      </c>
    </row>
    <row r="291" spans="1:13">
      <c r="A291" s="2">
        <v>45689</v>
      </c>
      <c r="B291" t="s">
        <v>15</v>
      </c>
      <c r="C291" t="s">
        <v>16</v>
      </c>
      <c r="D291">
        <v>68909.259999999995</v>
      </c>
      <c r="E291">
        <v>7794</v>
      </c>
      <c r="F291">
        <v>0.28399999999999997</v>
      </c>
      <c r="G291">
        <v>22</v>
      </c>
      <c r="H291">
        <v>89</v>
      </c>
      <c r="I291">
        <v>0.33</v>
      </c>
      <c r="J291">
        <v>0</v>
      </c>
      <c r="K291">
        <v>4</v>
      </c>
      <c r="L291">
        <v>696261.49</v>
      </c>
      <c r="M291">
        <v>72455.350000000006</v>
      </c>
    </row>
    <row r="292" spans="1:13">
      <c r="A292" s="2">
        <v>45717</v>
      </c>
      <c r="B292" t="s">
        <v>15</v>
      </c>
      <c r="C292" t="s">
        <v>16</v>
      </c>
      <c r="D292">
        <v>56737.3</v>
      </c>
      <c r="E292">
        <v>8300</v>
      </c>
      <c r="F292">
        <v>3.2000000000000001E-2</v>
      </c>
      <c r="G292">
        <v>21</v>
      </c>
      <c r="H292">
        <v>83.2</v>
      </c>
      <c r="I292">
        <v>3.44</v>
      </c>
      <c r="J292">
        <v>1</v>
      </c>
      <c r="K292">
        <v>4.3</v>
      </c>
      <c r="L292">
        <v>813316.71</v>
      </c>
      <c r="M292">
        <v>110077.42</v>
      </c>
    </row>
    <row r="293" spans="1:13">
      <c r="A293" s="2">
        <v>45748</v>
      </c>
      <c r="B293" t="s">
        <v>15</v>
      </c>
      <c r="C293" t="s">
        <v>16</v>
      </c>
      <c r="D293">
        <v>54080.91</v>
      </c>
      <c r="E293">
        <v>7083</v>
      </c>
      <c r="F293">
        <v>0</v>
      </c>
      <c r="G293">
        <v>15</v>
      </c>
      <c r="H293">
        <v>97</v>
      </c>
      <c r="I293">
        <v>5.33</v>
      </c>
      <c r="J293">
        <v>0</v>
      </c>
      <c r="K293">
        <v>4.0999999999999996</v>
      </c>
      <c r="L293">
        <v>702068.92</v>
      </c>
      <c r="M293">
        <v>111266.63</v>
      </c>
    </row>
    <row r="294" spans="1:13">
      <c r="A294" s="2">
        <v>45658</v>
      </c>
      <c r="B294" t="s">
        <v>27</v>
      </c>
      <c r="C294" t="s">
        <v>18</v>
      </c>
      <c r="D294">
        <v>51996.32</v>
      </c>
      <c r="E294">
        <v>3834</v>
      </c>
      <c r="F294">
        <v>9.6000000000000002E-2</v>
      </c>
      <c r="G294">
        <v>8</v>
      </c>
      <c r="H294">
        <v>86.7</v>
      </c>
      <c r="I294">
        <v>6.04</v>
      </c>
      <c r="J294">
        <v>0</v>
      </c>
      <c r="K294">
        <v>4.5</v>
      </c>
      <c r="L294">
        <v>546223.69999999995</v>
      </c>
      <c r="M294">
        <v>100769.17</v>
      </c>
    </row>
    <row r="295" spans="1:13">
      <c r="A295" s="2">
        <v>45689</v>
      </c>
      <c r="B295" t="s">
        <v>27</v>
      </c>
      <c r="C295" t="s">
        <v>18</v>
      </c>
      <c r="D295">
        <v>40102.879999999997</v>
      </c>
      <c r="E295">
        <v>2358</v>
      </c>
      <c r="F295">
        <v>0.11899999999999999</v>
      </c>
      <c r="G295">
        <v>9</v>
      </c>
      <c r="H295">
        <v>88.7</v>
      </c>
      <c r="I295">
        <v>1.6</v>
      </c>
      <c r="J295">
        <v>0</v>
      </c>
      <c r="K295">
        <v>4.2</v>
      </c>
      <c r="L295">
        <v>533121.26</v>
      </c>
      <c r="M295">
        <v>55063.39</v>
      </c>
    </row>
    <row r="296" spans="1:13">
      <c r="A296" s="2">
        <v>45717</v>
      </c>
      <c r="B296" t="s">
        <v>27</v>
      </c>
      <c r="C296" t="s">
        <v>18</v>
      </c>
      <c r="D296">
        <v>59825.51</v>
      </c>
      <c r="E296">
        <v>1231</v>
      </c>
      <c r="F296">
        <v>0.214</v>
      </c>
      <c r="G296">
        <v>10</v>
      </c>
      <c r="H296">
        <v>84.8</v>
      </c>
      <c r="I296">
        <v>8.9600000000000009</v>
      </c>
      <c r="J296">
        <v>0</v>
      </c>
      <c r="K296">
        <v>4.7</v>
      </c>
      <c r="L296">
        <v>498970.32</v>
      </c>
      <c r="M296">
        <v>69656.7</v>
      </c>
    </row>
    <row r="297" spans="1:13">
      <c r="A297" s="2">
        <v>45748</v>
      </c>
      <c r="B297" t="s">
        <v>27</v>
      </c>
      <c r="C297" t="s">
        <v>18</v>
      </c>
      <c r="D297">
        <v>27398.28</v>
      </c>
      <c r="E297">
        <v>1723</v>
      </c>
      <c r="F297">
        <v>0.17100000000000001</v>
      </c>
      <c r="G297">
        <v>9</v>
      </c>
      <c r="H297">
        <v>81</v>
      </c>
      <c r="I297">
        <v>0.74</v>
      </c>
      <c r="J297">
        <v>0</v>
      </c>
      <c r="K297">
        <v>4.5999999999999996</v>
      </c>
      <c r="L297">
        <v>487738.26</v>
      </c>
      <c r="M297">
        <v>96435.6</v>
      </c>
    </row>
    <row r="298" spans="1:13">
      <c r="A298" s="2">
        <v>45658</v>
      </c>
      <c r="B298" t="s">
        <v>27</v>
      </c>
      <c r="C298" t="s">
        <v>18</v>
      </c>
      <c r="D298">
        <v>55599.56</v>
      </c>
      <c r="E298">
        <v>5896</v>
      </c>
      <c r="F298">
        <v>3.5999999999999997E-2</v>
      </c>
      <c r="G298">
        <v>12</v>
      </c>
      <c r="H298">
        <v>93.1</v>
      </c>
      <c r="I298">
        <v>6.13</v>
      </c>
      <c r="J298">
        <v>0</v>
      </c>
      <c r="K298">
        <v>3.3</v>
      </c>
      <c r="L298">
        <v>668459.37</v>
      </c>
      <c r="M298">
        <v>126435.42</v>
      </c>
    </row>
    <row r="299" spans="1:13">
      <c r="A299" s="2">
        <v>45689</v>
      </c>
      <c r="B299" t="s">
        <v>27</v>
      </c>
      <c r="C299" t="s">
        <v>18</v>
      </c>
      <c r="D299">
        <v>55477.61</v>
      </c>
      <c r="E299">
        <v>5903</v>
      </c>
      <c r="F299">
        <v>0.10199999999999999</v>
      </c>
      <c r="G299">
        <v>14</v>
      </c>
      <c r="H299">
        <v>96.2</v>
      </c>
      <c r="I299">
        <v>1.41</v>
      </c>
      <c r="J299">
        <v>0</v>
      </c>
      <c r="K299">
        <v>3.3</v>
      </c>
      <c r="L299">
        <v>763162.45</v>
      </c>
      <c r="M299">
        <v>162524.04999999999</v>
      </c>
    </row>
    <row r="300" spans="1:13">
      <c r="A300" s="2">
        <v>45717</v>
      </c>
      <c r="B300" t="s">
        <v>27</v>
      </c>
      <c r="C300" t="s">
        <v>18</v>
      </c>
      <c r="D300">
        <v>46174.7</v>
      </c>
      <c r="E300">
        <v>4898</v>
      </c>
      <c r="F300">
        <v>0.114</v>
      </c>
      <c r="G300">
        <v>11</v>
      </c>
      <c r="H300">
        <v>91.7</v>
      </c>
      <c r="I300">
        <v>3.75</v>
      </c>
      <c r="J300">
        <v>0</v>
      </c>
      <c r="K300">
        <v>3.1</v>
      </c>
      <c r="L300">
        <v>599017.32999999996</v>
      </c>
      <c r="M300">
        <v>134009.92000000001</v>
      </c>
    </row>
    <row r="301" spans="1:13">
      <c r="A301" s="2">
        <v>45748</v>
      </c>
      <c r="B301" t="s">
        <v>27</v>
      </c>
      <c r="C301" t="s">
        <v>18</v>
      </c>
      <c r="D301">
        <v>24362.98</v>
      </c>
      <c r="E301">
        <v>1462</v>
      </c>
      <c r="F301">
        <v>0.11700000000000001</v>
      </c>
      <c r="G301">
        <v>6</v>
      </c>
      <c r="H301">
        <v>89.3</v>
      </c>
      <c r="I301">
        <v>15.06</v>
      </c>
      <c r="J301">
        <v>0</v>
      </c>
      <c r="K301">
        <v>3.2</v>
      </c>
      <c r="L301">
        <v>401582.58</v>
      </c>
      <c r="M301">
        <v>68454.929999999993</v>
      </c>
    </row>
    <row r="302" spans="1:13">
      <c r="A302" s="2">
        <v>45658</v>
      </c>
      <c r="B302" t="s">
        <v>20</v>
      </c>
      <c r="C302" t="s">
        <v>28</v>
      </c>
      <c r="D302">
        <v>40647.67</v>
      </c>
      <c r="E302">
        <v>8252</v>
      </c>
      <c r="F302">
        <v>0.14099999999999999</v>
      </c>
      <c r="G302">
        <v>22</v>
      </c>
      <c r="H302">
        <v>88.2</v>
      </c>
      <c r="I302">
        <v>5.07</v>
      </c>
      <c r="J302">
        <v>1</v>
      </c>
      <c r="K302">
        <v>4.0999999999999996</v>
      </c>
      <c r="L302">
        <v>703812.99</v>
      </c>
      <c r="M302">
        <v>133577.98000000001</v>
      </c>
    </row>
    <row r="303" spans="1:13">
      <c r="A303" s="2">
        <v>45689</v>
      </c>
      <c r="B303" t="s">
        <v>20</v>
      </c>
      <c r="C303" t="s">
        <v>28</v>
      </c>
      <c r="D303">
        <v>63986.98</v>
      </c>
      <c r="E303">
        <v>7989</v>
      </c>
      <c r="F303">
        <v>7.3999999999999996E-2</v>
      </c>
      <c r="G303">
        <v>20</v>
      </c>
      <c r="H303">
        <v>83.3</v>
      </c>
      <c r="I303">
        <v>3.6</v>
      </c>
      <c r="J303">
        <v>0</v>
      </c>
      <c r="K303">
        <v>3.7</v>
      </c>
      <c r="L303">
        <v>724346.73</v>
      </c>
      <c r="M303">
        <v>155013.91</v>
      </c>
    </row>
    <row r="304" spans="1:13">
      <c r="A304" s="2">
        <v>45717</v>
      </c>
      <c r="B304" t="s">
        <v>20</v>
      </c>
      <c r="C304" t="s">
        <v>28</v>
      </c>
      <c r="D304">
        <v>52843.75</v>
      </c>
      <c r="E304">
        <v>8268</v>
      </c>
      <c r="F304">
        <v>0.13800000000000001</v>
      </c>
      <c r="G304">
        <v>19</v>
      </c>
      <c r="H304">
        <v>87.3</v>
      </c>
      <c r="I304">
        <v>4.3899999999999997</v>
      </c>
      <c r="J304">
        <v>1</v>
      </c>
      <c r="K304">
        <v>4.7</v>
      </c>
      <c r="L304">
        <v>730890.01</v>
      </c>
      <c r="M304">
        <v>105502.56</v>
      </c>
    </row>
    <row r="305" spans="1:13">
      <c r="A305" s="2">
        <v>45748</v>
      </c>
      <c r="B305" t="s">
        <v>20</v>
      </c>
      <c r="C305" t="s">
        <v>28</v>
      </c>
      <c r="D305">
        <v>31997.25</v>
      </c>
      <c r="E305">
        <v>8183</v>
      </c>
      <c r="F305">
        <v>0.19800000000000001</v>
      </c>
      <c r="G305">
        <v>18</v>
      </c>
      <c r="H305">
        <v>93</v>
      </c>
      <c r="I305">
        <v>2.79</v>
      </c>
      <c r="J305">
        <v>0</v>
      </c>
      <c r="K305">
        <v>4.2</v>
      </c>
      <c r="L305">
        <v>780580.95</v>
      </c>
      <c r="M305">
        <v>138144.46</v>
      </c>
    </row>
    <row r="306" spans="1:13">
      <c r="A306" s="2">
        <v>45658</v>
      </c>
      <c r="B306" t="s">
        <v>24</v>
      </c>
      <c r="C306" t="s">
        <v>16</v>
      </c>
      <c r="D306">
        <v>54948.02</v>
      </c>
      <c r="E306">
        <v>6534</v>
      </c>
      <c r="F306">
        <v>0.183</v>
      </c>
      <c r="G306">
        <v>14</v>
      </c>
      <c r="H306">
        <v>94.5</v>
      </c>
      <c r="I306">
        <v>1.56</v>
      </c>
      <c r="J306">
        <v>0</v>
      </c>
      <c r="K306">
        <v>4</v>
      </c>
      <c r="L306">
        <v>727957.48</v>
      </c>
      <c r="M306">
        <v>74805.23</v>
      </c>
    </row>
    <row r="307" spans="1:13">
      <c r="A307" s="2">
        <v>45689</v>
      </c>
      <c r="B307" t="s">
        <v>24</v>
      </c>
      <c r="C307" t="s">
        <v>16</v>
      </c>
      <c r="D307">
        <v>46146.239999999998</v>
      </c>
      <c r="E307">
        <v>5804</v>
      </c>
      <c r="F307">
        <v>4.7E-2</v>
      </c>
      <c r="G307">
        <v>16</v>
      </c>
      <c r="H307">
        <v>86.9</v>
      </c>
      <c r="I307">
        <v>15.82</v>
      </c>
      <c r="J307">
        <v>0</v>
      </c>
      <c r="K307">
        <v>3.8</v>
      </c>
      <c r="L307">
        <v>538376</v>
      </c>
      <c r="M307">
        <v>87605.62</v>
      </c>
    </row>
    <row r="308" spans="1:13">
      <c r="A308" s="2">
        <v>45717</v>
      </c>
      <c r="B308" t="s">
        <v>24</v>
      </c>
      <c r="C308" t="s">
        <v>16</v>
      </c>
      <c r="D308">
        <v>22387.26</v>
      </c>
      <c r="E308">
        <v>6301</v>
      </c>
      <c r="F308">
        <v>0.14599999999999999</v>
      </c>
      <c r="G308">
        <v>14</v>
      </c>
      <c r="H308">
        <v>85.9</v>
      </c>
      <c r="I308">
        <v>1.17</v>
      </c>
      <c r="J308">
        <v>1</v>
      </c>
      <c r="K308">
        <v>3.7</v>
      </c>
      <c r="L308">
        <v>665342.49</v>
      </c>
      <c r="M308">
        <v>93441.81</v>
      </c>
    </row>
    <row r="309" spans="1:13">
      <c r="A309" s="2">
        <v>45748</v>
      </c>
      <c r="B309" t="s">
        <v>24</v>
      </c>
      <c r="C309" t="s">
        <v>16</v>
      </c>
      <c r="D309">
        <v>60684.05</v>
      </c>
      <c r="E309">
        <v>6399</v>
      </c>
      <c r="F309">
        <v>7.4999999999999997E-2</v>
      </c>
      <c r="G309">
        <v>16</v>
      </c>
      <c r="H309">
        <v>99</v>
      </c>
      <c r="I309">
        <v>3.82</v>
      </c>
      <c r="J309">
        <v>0</v>
      </c>
      <c r="K309">
        <v>3.5</v>
      </c>
      <c r="L309">
        <v>651164.18000000005</v>
      </c>
      <c r="M309">
        <v>109466.5</v>
      </c>
    </row>
    <row r="310" spans="1:13">
      <c r="A310" s="2">
        <v>45658</v>
      </c>
      <c r="B310" t="s">
        <v>24</v>
      </c>
      <c r="C310" t="s">
        <v>18</v>
      </c>
      <c r="D310">
        <v>48465.599999999999</v>
      </c>
      <c r="E310">
        <v>5759</v>
      </c>
      <c r="F310">
        <v>0.154</v>
      </c>
      <c r="G310">
        <v>13</v>
      </c>
      <c r="H310">
        <v>87.5</v>
      </c>
      <c r="I310">
        <v>4.1399999999999997</v>
      </c>
      <c r="J310">
        <v>0</v>
      </c>
      <c r="K310">
        <v>4</v>
      </c>
      <c r="L310">
        <v>628538.30000000005</v>
      </c>
      <c r="M310">
        <v>112509.15</v>
      </c>
    </row>
    <row r="311" spans="1:13">
      <c r="A311" s="2">
        <v>45689</v>
      </c>
      <c r="B311" t="s">
        <v>24</v>
      </c>
      <c r="C311" t="s">
        <v>18</v>
      </c>
      <c r="D311">
        <v>23702.38</v>
      </c>
      <c r="E311">
        <v>5285</v>
      </c>
      <c r="F311">
        <v>0.16700000000000001</v>
      </c>
      <c r="G311">
        <v>14</v>
      </c>
      <c r="H311">
        <v>79.7</v>
      </c>
      <c r="I311">
        <v>1.1000000000000001</v>
      </c>
      <c r="J311">
        <v>0</v>
      </c>
      <c r="K311">
        <v>4.3</v>
      </c>
      <c r="L311">
        <v>536524.84</v>
      </c>
      <c r="M311">
        <v>92752.94</v>
      </c>
    </row>
    <row r="312" spans="1:13">
      <c r="A312" s="2">
        <v>45717</v>
      </c>
      <c r="B312" t="s">
        <v>24</v>
      </c>
      <c r="C312" t="s">
        <v>18</v>
      </c>
      <c r="D312">
        <v>54322.94</v>
      </c>
      <c r="E312">
        <v>5434</v>
      </c>
      <c r="F312">
        <v>0.2</v>
      </c>
      <c r="G312">
        <v>13</v>
      </c>
      <c r="H312">
        <v>85.7</v>
      </c>
      <c r="I312">
        <v>10.6</v>
      </c>
      <c r="J312">
        <v>0</v>
      </c>
      <c r="K312">
        <v>4.2</v>
      </c>
      <c r="L312">
        <v>621677.30000000005</v>
      </c>
      <c r="M312">
        <v>105192.52</v>
      </c>
    </row>
    <row r="313" spans="1:13">
      <c r="A313" s="2">
        <v>45748</v>
      </c>
      <c r="B313" t="s">
        <v>24</v>
      </c>
      <c r="C313" t="s">
        <v>18</v>
      </c>
      <c r="D313">
        <v>86026.58</v>
      </c>
      <c r="E313">
        <v>7479</v>
      </c>
      <c r="F313">
        <v>0.14199999999999999</v>
      </c>
      <c r="G313">
        <v>20</v>
      </c>
      <c r="H313">
        <v>89</v>
      </c>
      <c r="I313">
        <v>0.9</v>
      </c>
      <c r="J313">
        <v>0</v>
      </c>
      <c r="L313">
        <v>771129.07</v>
      </c>
      <c r="M313">
        <v>116851.13</v>
      </c>
    </row>
    <row r="314" spans="1:13">
      <c r="A314" s="2">
        <v>45658</v>
      </c>
      <c r="B314" t="s">
        <v>20</v>
      </c>
      <c r="C314" t="s">
        <v>16</v>
      </c>
      <c r="D314">
        <v>78967.520000000004</v>
      </c>
      <c r="E314">
        <v>6164</v>
      </c>
      <c r="F314">
        <v>2.1000000000000001E-2</v>
      </c>
      <c r="G314">
        <v>16</v>
      </c>
      <c r="H314">
        <v>85.5</v>
      </c>
      <c r="I314">
        <v>0.2</v>
      </c>
      <c r="J314">
        <v>0</v>
      </c>
      <c r="K314">
        <v>3.4</v>
      </c>
      <c r="L314">
        <v>702052.47</v>
      </c>
      <c r="M314">
        <v>121732.51</v>
      </c>
    </row>
    <row r="315" spans="1:13">
      <c r="A315" s="2">
        <v>45689</v>
      </c>
      <c r="B315" t="s">
        <v>20</v>
      </c>
      <c r="C315" t="s">
        <v>16</v>
      </c>
      <c r="D315">
        <v>46767.99</v>
      </c>
      <c r="E315">
        <v>7973</v>
      </c>
      <c r="F315">
        <v>0.183</v>
      </c>
      <c r="G315">
        <v>18</v>
      </c>
      <c r="H315">
        <v>94.8</v>
      </c>
      <c r="I315">
        <v>4.67</v>
      </c>
      <c r="J315">
        <v>0</v>
      </c>
      <c r="L315">
        <v>688368.46</v>
      </c>
      <c r="M315">
        <v>93588.42</v>
      </c>
    </row>
    <row r="316" spans="1:13">
      <c r="A316" s="2">
        <v>45717</v>
      </c>
      <c r="B316" t="s">
        <v>20</v>
      </c>
      <c r="C316" t="s">
        <v>16</v>
      </c>
      <c r="D316">
        <v>62507.16</v>
      </c>
      <c r="E316">
        <v>6000</v>
      </c>
      <c r="F316">
        <v>9.0999999999999998E-2</v>
      </c>
      <c r="G316">
        <v>14</v>
      </c>
      <c r="H316">
        <v>98.2</v>
      </c>
      <c r="I316">
        <v>4.38</v>
      </c>
      <c r="J316">
        <v>1</v>
      </c>
      <c r="K316">
        <v>3.9</v>
      </c>
      <c r="L316">
        <v>712375.77</v>
      </c>
      <c r="M316">
        <v>104171.53</v>
      </c>
    </row>
    <row r="317" spans="1:13">
      <c r="A317" s="2">
        <v>45748</v>
      </c>
      <c r="B317" t="s">
        <v>20</v>
      </c>
      <c r="C317" t="s">
        <v>16</v>
      </c>
      <c r="D317">
        <v>66456.28</v>
      </c>
      <c r="E317">
        <v>9967</v>
      </c>
      <c r="F317">
        <v>0.108</v>
      </c>
      <c r="G317">
        <v>20</v>
      </c>
      <c r="H317">
        <v>94.7</v>
      </c>
      <c r="I317">
        <v>4.4800000000000004</v>
      </c>
      <c r="J317">
        <v>0</v>
      </c>
      <c r="K317">
        <v>4.2</v>
      </c>
      <c r="L317">
        <v>844710.67</v>
      </c>
      <c r="M317">
        <v>137140.18</v>
      </c>
    </row>
    <row r="318" spans="1:13">
      <c r="A318" s="2">
        <v>45658</v>
      </c>
      <c r="B318" t="s">
        <v>15</v>
      </c>
      <c r="C318" t="s">
        <v>16</v>
      </c>
      <c r="D318">
        <v>76614.320000000007</v>
      </c>
      <c r="E318">
        <v>5639</v>
      </c>
      <c r="F318">
        <v>0.17399999999999999</v>
      </c>
      <c r="G318">
        <v>15</v>
      </c>
      <c r="H318">
        <v>92.9</v>
      </c>
      <c r="I318">
        <v>1.02</v>
      </c>
      <c r="J318">
        <v>1</v>
      </c>
      <c r="K318">
        <v>4</v>
      </c>
      <c r="L318">
        <v>620264.19999999995</v>
      </c>
      <c r="M318">
        <v>91365.64</v>
      </c>
    </row>
    <row r="319" spans="1:13">
      <c r="A319" s="2">
        <v>45689</v>
      </c>
      <c r="B319" t="s">
        <v>15</v>
      </c>
      <c r="C319" t="s">
        <v>16</v>
      </c>
      <c r="D319">
        <v>24088.06</v>
      </c>
      <c r="E319">
        <v>3466</v>
      </c>
      <c r="F319">
        <v>0</v>
      </c>
      <c r="G319">
        <v>11</v>
      </c>
      <c r="H319">
        <v>88</v>
      </c>
      <c r="I319">
        <v>0.2</v>
      </c>
      <c r="J319">
        <v>0</v>
      </c>
      <c r="K319">
        <v>3.8</v>
      </c>
      <c r="L319">
        <v>536845.42000000004</v>
      </c>
      <c r="M319">
        <v>107473.75</v>
      </c>
    </row>
    <row r="320" spans="1:13">
      <c r="A320" s="2">
        <v>45717</v>
      </c>
      <c r="B320" t="s">
        <v>15</v>
      </c>
      <c r="C320" t="s">
        <v>16</v>
      </c>
      <c r="D320">
        <v>81902.58</v>
      </c>
      <c r="E320">
        <v>7775</v>
      </c>
      <c r="F320">
        <v>0.215</v>
      </c>
      <c r="G320">
        <v>20</v>
      </c>
      <c r="H320">
        <v>85.2</v>
      </c>
      <c r="I320">
        <v>4.8899999999999997</v>
      </c>
      <c r="J320">
        <v>1</v>
      </c>
      <c r="K320">
        <v>4.2</v>
      </c>
      <c r="L320">
        <v>726776.22</v>
      </c>
      <c r="M320">
        <v>90804.49</v>
      </c>
    </row>
    <row r="321" spans="1:13">
      <c r="A321" s="2">
        <v>45748</v>
      </c>
      <c r="B321" t="s">
        <v>15</v>
      </c>
      <c r="C321" t="s">
        <v>16</v>
      </c>
      <c r="D321">
        <v>40553.11</v>
      </c>
      <c r="E321">
        <v>5317</v>
      </c>
      <c r="F321">
        <v>0.16500000000000001</v>
      </c>
      <c r="G321">
        <v>17</v>
      </c>
      <c r="H321">
        <v>84.3</v>
      </c>
      <c r="I321">
        <v>11.82</v>
      </c>
      <c r="J321">
        <v>0</v>
      </c>
      <c r="K321">
        <v>4.0999999999999996</v>
      </c>
      <c r="L321">
        <v>559660.84</v>
      </c>
      <c r="M321">
        <v>71443.61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8439-D4CD-4F13-AE7B-23860C8ADC30}">
  <dimension ref="A1:Z321"/>
  <sheetViews>
    <sheetView workbookViewId="0"/>
  </sheetViews>
  <sheetFormatPr defaultRowHeight="13.8"/>
  <cols>
    <col min="1" max="1" width="12.5" customWidth="1"/>
    <col min="2" max="2" width="8.296875" customWidth="1"/>
    <col min="3" max="3" width="13.09765625" customWidth="1"/>
    <col min="4" max="4" width="16.796875" style="5" customWidth="1"/>
    <col min="5" max="5" width="10.59765625" customWidth="1"/>
    <col min="6" max="6" width="11.19921875" customWidth="1"/>
    <col min="7" max="7" width="7.09765625" customWidth="1"/>
    <col min="8" max="8" width="11.8984375" customWidth="1"/>
    <col min="9" max="9" width="11.19921875" customWidth="1"/>
    <col min="10" max="10" width="8.796875" customWidth="1"/>
    <col min="11" max="11" width="10.796875" customWidth="1"/>
    <col min="12" max="12" width="11.8984375" style="5" customWidth="1"/>
    <col min="13" max="13" width="10.59765625" customWidth="1"/>
    <col min="14" max="14" width="10.19921875" customWidth="1"/>
    <col min="15" max="15" width="12.796875" customWidth="1"/>
    <col min="18" max="19" width="11.5" customWidth="1"/>
    <col min="20" max="20" width="11.8984375" style="5" customWidth="1"/>
    <col min="21" max="21" width="14" style="5" bestFit="1" customWidth="1"/>
    <col min="22" max="22" width="10.59765625" customWidth="1"/>
    <col min="23" max="23" width="11.19921875" customWidth="1"/>
    <col min="24" max="24" width="9.796875" customWidth="1"/>
  </cols>
  <sheetData>
    <row r="1" spans="1:26" ht="41.4">
      <c r="A1" s="1" t="s">
        <v>1</v>
      </c>
      <c r="B1" s="1" t="s">
        <v>2</v>
      </c>
      <c r="C1" s="1" t="s">
        <v>3</v>
      </c>
      <c r="D1" s="6" t="s">
        <v>4</v>
      </c>
      <c r="E1" s="7" t="s">
        <v>5</v>
      </c>
      <c r="F1" s="14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6" t="s">
        <v>12</v>
      </c>
      <c r="M1" s="1" t="s">
        <v>13</v>
      </c>
      <c r="N1" s="4" t="s">
        <v>118</v>
      </c>
      <c r="O1" s="4" t="s">
        <v>119</v>
      </c>
      <c r="P1" s="4" t="s">
        <v>120</v>
      </c>
      <c r="Q1" s="15"/>
      <c r="R1" s="4" t="s">
        <v>149</v>
      </c>
      <c r="S1" s="15"/>
      <c r="T1" s="16" t="s">
        <v>12</v>
      </c>
      <c r="U1" s="16" t="s">
        <v>4</v>
      </c>
      <c r="V1" s="17" t="s">
        <v>5</v>
      </c>
      <c r="W1" s="17" t="s">
        <v>6</v>
      </c>
      <c r="X1" s="17" t="s">
        <v>118</v>
      </c>
      <c r="Y1" s="17" t="s">
        <v>119</v>
      </c>
      <c r="Z1" s="17" t="s">
        <v>120</v>
      </c>
    </row>
    <row r="2" spans="1:26">
      <c r="A2" s="2">
        <v>45658</v>
      </c>
      <c r="B2" t="s">
        <v>15</v>
      </c>
      <c r="C2" t="s">
        <v>16</v>
      </c>
      <c r="D2" s="5">
        <v>70389.11</v>
      </c>
      <c r="E2">
        <v>8302</v>
      </c>
      <c r="F2">
        <v>4.2000000000000003E-2</v>
      </c>
      <c r="G2">
        <v>17</v>
      </c>
      <c r="H2">
        <v>75</v>
      </c>
      <c r="I2">
        <v>5.28</v>
      </c>
      <c r="J2">
        <v>1</v>
      </c>
      <c r="K2">
        <v>3.1</v>
      </c>
      <c r="L2" s="5">
        <v>658832.62</v>
      </c>
      <c r="M2">
        <v>84349.93</v>
      </c>
      <c r="N2">
        <f>IF(C2="Mall", 1, 0)</f>
        <v>0</v>
      </c>
      <c r="O2">
        <f>IF(C2="High Street", 1, 0)</f>
        <v>0</v>
      </c>
      <c r="P2">
        <f>IF(C2="airport", 1, 0)</f>
        <v>0</v>
      </c>
      <c r="T2" s="18">
        <v>658832.62</v>
      </c>
      <c r="U2" s="18">
        <v>70389.11</v>
      </c>
      <c r="V2" s="19">
        <v>8302</v>
      </c>
      <c r="W2" s="19">
        <v>4.2000000000000003E-2</v>
      </c>
      <c r="X2" s="19">
        <v>0</v>
      </c>
      <c r="Y2" s="19">
        <v>0</v>
      </c>
      <c r="Z2" s="19">
        <v>0</v>
      </c>
    </row>
    <row r="3" spans="1:26">
      <c r="A3" s="2">
        <v>45689</v>
      </c>
      <c r="B3" t="s">
        <v>15</v>
      </c>
      <c r="C3" t="s">
        <v>16</v>
      </c>
      <c r="D3" s="5">
        <v>43827.89</v>
      </c>
      <c r="E3">
        <v>8487</v>
      </c>
      <c r="F3">
        <v>0.16800000000000001</v>
      </c>
      <c r="G3">
        <v>23</v>
      </c>
      <c r="H3">
        <v>84.4</v>
      </c>
      <c r="I3">
        <v>4.3099999999999996</v>
      </c>
      <c r="J3">
        <v>0</v>
      </c>
      <c r="K3">
        <v>2.8</v>
      </c>
      <c r="L3" s="5">
        <v>634436</v>
      </c>
      <c r="M3">
        <v>106130.54</v>
      </c>
      <c r="N3">
        <f t="shared" ref="N3:N66" si="0">IF(C3="Mall", 1, 0)</f>
        <v>0</v>
      </c>
      <c r="O3">
        <f t="shared" ref="O3:O10" si="1">IF(C3="High Street", 1, 0)</f>
        <v>0</v>
      </c>
      <c r="P3">
        <f t="shared" ref="P3:P10" si="2">IF(C3="airport", 1, 0)</f>
        <v>0</v>
      </c>
      <c r="T3" s="18">
        <v>634436</v>
      </c>
      <c r="U3" s="18">
        <v>43827.89</v>
      </c>
      <c r="V3" s="19">
        <v>8487</v>
      </c>
      <c r="W3" s="19">
        <v>0.16800000000000001</v>
      </c>
      <c r="X3" s="19">
        <v>0</v>
      </c>
      <c r="Y3" s="19">
        <v>0</v>
      </c>
      <c r="Z3" s="19">
        <v>0</v>
      </c>
    </row>
    <row r="4" spans="1:26">
      <c r="A4" s="2">
        <v>45717</v>
      </c>
      <c r="B4" t="s">
        <v>15</v>
      </c>
      <c r="C4" t="s">
        <v>16</v>
      </c>
      <c r="D4" s="5">
        <v>59921.75</v>
      </c>
      <c r="E4">
        <v>9113</v>
      </c>
      <c r="F4">
        <v>0.13300000000000001</v>
      </c>
      <c r="G4">
        <v>20</v>
      </c>
      <c r="H4">
        <v>88</v>
      </c>
      <c r="I4">
        <v>12</v>
      </c>
      <c r="J4">
        <v>0</v>
      </c>
      <c r="K4">
        <v>3.2</v>
      </c>
      <c r="L4" s="5">
        <v>678722.06</v>
      </c>
      <c r="M4">
        <v>101883.86</v>
      </c>
      <c r="N4">
        <f t="shared" si="0"/>
        <v>0</v>
      </c>
      <c r="O4">
        <f t="shared" si="1"/>
        <v>0</v>
      </c>
      <c r="P4">
        <f t="shared" si="2"/>
        <v>0</v>
      </c>
      <c r="T4" s="18">
        <v>678722.06</v>
      </c>
      <c r="U4" s="18">
        <v>59921.75</v>
      </c>
      <c r="V4" s="19">
        <v>9113</v>
      </c>
      <c r="W4" s="19">
        <v>0.13300000000000001</v>
      </c>
      <c r="X4" s="19">
        <v>0</v>
      </c>
      <c r="Y4" s="19">
        <v>0</v>
      </c>
      <c r="Z4" s="19">
        <v>0</v>
      </c>
    </row>
    <row r="5" spans="1:26">
      <c r="A5" s="2">
        <v>45748</v>
      </c>
      <c r="B5" t="s">
        <v>15</v>
      </c>
      <c r="C5" t="s">
        <v>16</v>
      </c>
      <c r="D5" s="5">
        <v>56856.63</v>
      </c>
      <c r="E5">
        <v>9431</v>
      </c>
      <c r="F5">
        <v>0.14199999999999999</v>
      </c>
      <c r="G5">
        <v>23</v>
      </c>
      <c r="H5">
        <v>86.9</v>
      </c>
      <c r="I5">
        <v>4.97</v>
      </c>
      <c r="J5">
        <v>0</v>
      </c>
      <c r="K5">
        <v>3.4</v>
      </c>
      <c r="L5" s="5">
        <v>658920.30000000005</v>
      </c>
      <c r="M5">
        <v>97910.37</v>
      </c>
      <c r="N5">
        <f t="shared" si="0"/>
        <v>0</v>
      </c>
      <c r="O5">
        <f t="shared" si="1"/>
        <v>0</v>
      </c>
      <c r="P5">
        <f t="shared" si="2"/>
        <v>0</v>
      </c>
      <c r="T5" s="18">
        <v>658920.30000000005</v>
      </c>
      <c r="U5" s="18">
        <v>56856.63</v>
      </c>
      <c r="V5" s="19">
        <v>9431</v>
      </c>
      <c r="W5" s="19">
        <v>0.14199999999999999</v>
      </c>
      <c r="X5" s="19">
        <v>0</v>
      </c>
      <c r="Y5" s="19">
        <v>0</v>
      </c>
      <c r="Z5" s="19">
        <v>0</v>
      </c>
    </row>
    <row r="6" spans="1:26">
      <c r="A6" s="2">
        <v>45658</v>
      </c>
      <c r="B6" t="s">
        <v>15</v>
      </c>
      <c r="C6" t="s">
        <v>18</v>
      </c>
      <c r="D6" s="5">
        <v>48412.639999999999</v>
      </c>
      <c r="E6">
        <v>9545</v>
      </c>
      <c r="F6">
        <v>0.23100000000000001</v>
      </c>
      <c r="G6">
        <v>21</v>
      </c>
      <c r="H6">
        <v>97.6</v>
      </c>
      <c r="I6">
        <v>6.94</v>
      </c>
      <c r="J6">
        <v>1</v>
      </c>
      <c r="K6">
        <v>4.2</v>
      </c>
      <c r="L6" s="5">
        <v>741341.44</v>
      </c>
      <c r="M6">
        <v>119208.17</v>
      </c>
      <c r="N6">
        <f t="shared" si="0"/>
        <v>0</v>
      </c>
      <c r="O6">
        <f t="shared" si="1"/>
        <v>1</v>
      </c>
      <c r="P6">
        <f t="shared" si="2"/>
        <v>0</v>
      </c>
      <c r="T6" s="18">
        <v>741341.44</v>
      </c>
      <c r="U6" s="18">
        <v>48412.639999999999</v>
      </c>
      <c r="V6" s="19">
        <v>9545</v>
      </c>
      <c r="W6" s="19">
        <v>0.23100000000000001</v>
      </c>
      <c r="X6" s="19">
        <v>0</v>
      </c>
      <c r="Y6" s="19">
        <v>1</v>
      </c>
      <c r="Z6" s="19">
        <v>0</v>
      </c>
    </row>
    <row r="7" spans="1:26">
      <c r="A7" s="2">
        <v>45689</v>
      </c>
      <c r="B7" t="s">
        <v>15</v>
      </c>
      <c r="C7" t="s">
        <v>18</v>
      </c>
      <c r="D7" s="5">
        <v>64811.21</v>
      </c>
      <c r="E7">
        <v>9792</v>
      </c>
      <c r="F7">
        <v>0.112</v>
      </c>
      <c r="G7">
        <v>20</v>
      </c>
      <c r="H7">
        <v>84.2</v>
      </c>
      <c r="I7">
        <v>2.88</v>
      </c>
      <c r="J7">
        <v>0</v>
      </c>
      <c r="K7">
        <v>4.2</v>
      </c>
      <c r="L7" s="5">
        <v>761835.34</v>
      </c>
      <c r="M7">
        <v>149602.23000000001</v>
      </c>
      <c r="N7">
        <f t="shared" si="0"/>
        <v>0</v>
      </c>
      <c r="O7">
        <f t="shared" si="1"/>
        <v>1</v>
      </c>
      <c r="P7">
        <f t="shared" si="2"/>
        <v>0</v>
      </c>
      <c r="T7" s="18">
        <v>761835.34</v>
      </c>
      <c r="U7" s="18">
        <v>64811.21</v>
      </c>
      <c r="V7" s="19">
        <v>9792</v>
      </c>
      <c r="W7" s="19">
        <v>0.112</v>
      </c>
      <c r="X7" s="19">
        <v>0</v>
      </c>
      <c r="Y7" s="19">
        <v>1</v>
      </c>
      <c r="Z7" s="19">
        <v>0</v>
      </c>
    </row>
    <row r="8" spans="1:26">
      <c r="A8" s="2">
        <v>45717</v>
      </c>
      <c r="B8" t="s">
        <v>15</v>
      </c>
      <c r="C8" t="s">
        <v>18</v>
      </c>
      <c r="D8" s="5">
        <v>46213.45</v>
      </c>
      <c r="E8">
        <v>10616</v>
      </c>
      <c r="F8">
        <v>0.122</v>
      </c>
      <c r="G8">
        <v>22</v>
      </c>
      <c r="H8">
        <v>85.2</v>
      </c>
      <c r="I8">
        <v>0.2</v>
      </c>
      <c r="J8">
        <v>1</v>
      </c>
      <c r="K8">
        <v>4.0999999999999996</v>
      </c>
      <c r="L8" s="5">
        <v>806615.54</v>
      </c>
      <c r="M8">
        <v>131364.62</v>
      </c>
      <c r="N8">
        <f t="shared" si="0"/>
        <v>0</v>
      </c>
      <c r="O8">
        <f t="shared" si="1"/>
        <v>1</v>
      </c>
      <c r="P8">
        <f t="shared" si="2"/>
        <v>0</v>
      </c>
      <c r="T8" s="18">
        <v>806615.54</v>
      </c>
      <c r="U8" s="18">
        <v>46213.45</v>
      </c>
      <c r="V8" s="19">
        <v>10616</v>
      </c>
      <c r="W8" s="19">
        <v>0.122</v>
      </c>
      <c r="X8" s="19">
        <v>0</v>
      </c>
      <c r="Y8" s="19">
        <v>1</v>
      </c>
      <c r="Z8" s="19">
        <v>0</v>
      </c>
    </row>
    <row r="9" spans="1:26">
      <c r="A9" s="2">
        <v>45748</v>
      </c>
      <c r="B9" t="s">
        <v>15</v>
      </c>
      <c r="C9" t="s">
        <v>18</v>
      </c>
      <c r="D9" s="5">
        <v>68148.52</v>
      </c>
      <c r="E9">
        <v>8567</v>
      </c>
      <c r="F9">
        <v>0.127</v>
      </c>
      <c r="G9">
        <v>23</v>
      </c>
      <c r="H9">
        <v>95.6</v>
      </c>
      <c r="I9">
        <v>0.8</v>
      </c>
      <c r="J9">
        <v>0</v>
      </c>
      <c r="K9">
        <v>3.9</v>
      </c>
      <c r="L9" s="5">
        <v>850164.26</v>
      </c>
      <c r="M9">
        <v>149262.75</v>
      </c>
      <c r="N9">
        <f t="shared" si="0"/>
        <v>0</v>
      </c>
      <c r="O9">
        <f t="shared" si="1"/>
        <v>1</v>
      </c>
      <c r="P9">
        <f t="shared" si="2"/>
        <v>0</v>
      </c>
      <c r="T9" s="18">
        <v>850164.26</v>
      </c>
      <c r="U9" s="18">
        <v>68148.52</v>
      </c>
      <c r="V9" s="19">
        <v>8567</v>
      </c>
      <c r="W9" s="19">
        <v>0.127</v>
      </c>
      <c r="X9" s="19">
        <v>0</v>
      </c>
      <c r="Y9" s="19">
        <v>1</v>
      </c>
      <c r="Z9" s="19">
        <v>0</v>
      </c>
    </row>
    <row r="10" spans="1:26">
      <c r="A10" s="2">
        <v>45658</v>
      </c>
      <c r="B10" t="s">
        <v>20</v>
      </c>
      <c r="C10" t="s">
        <v>21</v>
      </c>
      <c r="D10" s="5">
        <v>71838.86</v>
      </c>
      <c r="E10">
        <v>10979</v>
      </c>
      <c r="F10">
        <v>0.215</v>
      </c>
      <c r="G10">
        <v>26</v>
      </c>
      <c r="H10">
        <v>88.6</v>
      </c>
      <c r="I10">
        <v>7.7</v>
      </c>
      <c r="J10">
        <v>1</v>
      </c>
      <c r="K10">
        <v>3.8</v>
      </c>
      <c r="L10" s="5">
        <v>930581.7</v>
      </c>
      <c r="M10">
        <v>136207.98000000001</v>
      </c>
      <c r="N10">
        <f t="shared" si="0"/>
        <v>0</v>
      </c>
      <c r="O10">
        <f t="shared" si="1"/>
        <v>0</v>
      </c>
      <c r="P10">
        <f t="shared" si="2"/>
        <v>1</v>
      </c>
      <c r="T10" s="18">
        <v>930581.7</v>
      </c>
      <c r="U10" s="18">
        <v>71838.86</v>
      </c>
      <c r="V10" s="19">
        <v>10979</v>
      </c>
      <c r="W10" s="19">
        <v>0.215</v>
      </c>
      <c r="X10" s="19">
        <v>0</v>
      </c>
      <c r="Y10" s="19">
        <v>0</v>
      </c>
      <c r="Z10" s="19">
        <v>1</v>
      </c>
    </row>
    <row r="11" spans="1:26">
      <c r="A11" s="2">
        <v>45689</v>
      </c>
      <c r="B11" t="s">
        <v>20</v>
      </c>
      <c r="C11" t="s">
        <v>21</v>
      </c>
      <c r="D11" s="5">
        <v>68133.440000000002</v>
      </c>
      <c r="E11">
        <v>9459</v>
      </c>
      <c r="F11">
        <v>0.22</v>
      </c>
      <c r="G11">
        <v>21</v>
      </c>
      <c r="H11">
        <v>85</v>
      </c>
      <c r="I11">
        <v>1.91</v>
      </c>
      <c r="J11">
        <v>0</v>
      </c>
      <c r="K11">
        <v>4.2</v>
      </c>
      <c r="L11" s="5">
        <v>779010.94</v>
      </c>
      <c r="M11">
        <v>106328.09</v>
      </c>
      <c r="N11">
        <f t="shared" si="0"/>
        <v>0</v>
      </c>
      <c r="O11">
        <f t="shared" ref="O11:O74" si="3">IF(C11="High Street", 1, 0)</f>
        <v>0</v>
      </c>
      <c r="P11">
        <f t="shared" ref="P11:P74" si="4">IF(C11="airport", 1, 0)</f>
        <v>1</v>
      </c>
      <c r="T11" s="18">
        <v>779010.94</v>
      </c>
      <c r="U11" s="18">
        <v>68133.440000000002</v>
      </c>
      <c r="V11" s="19">
        <v>9459</v>
      </c>
      <c r="W11" s="19">
        <v>0.22</v>
      </c>
      <c r="X11" s="19">
        <v>0</v>
      </c>
      <c r="Y11" s="19">
        <v>0</v>
      </c>
      <c r="Z11" s="19">
        <v>1</v>
      </c>
    </row>
    <row r="12" spans="1:26">
      <c r="A12" s="2">
        <v>45717</v>
      </c>
      <c r="B12" t="s">
        <v>20</v>
      </c>
      <c r="C12" t="s">
        <v>21</v>
      </c>
      <c r="D12" s="5">
        <v>34285.21</v>
      </c>
      <c r="E12">
        <v>9172</v>
      </c>
      <c r="F12">
        <v>0.21299999999999999</v>
      </c>
      <c r="G12">
        <v>22</v>
      </c>
      <c r="H12">
        <v>88.3</v>
      </c>
      <c r="I12">
        <v>10.46</v>
      </c>
      <c r="J12">
        <v>1</v>
      </c>
      <c r="K12">
        <v>3.8</v>
      </c>
      <c r="L12" s="5">
        <v>723060.76</v>
      </c>
      <c r="M12">
        <v>123131.24</v>
      </c>
      <c r="N12">
        <f t="shared" si="0"/>
        <v>0</v>
      </c>
      <c r="O12">
        <f t="shared" si="3"/>
        <v>0</v>
      </c>
      <c r="P12">
        <f t="shared" si="4"/>
        <v>1</v>
      </c>
      <c r="T12" s="18">
        <v>723060.76</v>
      </c>
      <c r="U12" s="18">
        <v>34285.21</v>
      </c>
      <c r="V12" s="19">
        <v>9172</v>
      </c>
      <c r="W12" s="19">
        <v>0.21299999999999999</v>
      </c>
      <c r="X12" s="19">
        <v>0</v>
      </c>
      <c r="Y12" s="19">
        <v>0</v>
      </c>
      <c r="Z12" s="19">
        <v>1</v>
      </c>
    </row>
    <row r="13" spans="1:26">
      <c r="A13" s="2">
        <v>45748</v>
      </c>
      <c r="B13" t="s">
        <v>20</v>
      </c>
      <c r="C13" t="s">
        <v>21</v>
      </c>
      <c r="D13" s="5">
        <v>67979.88</v>
      </c>
      <c r="E13">
        <v>11230</v>
      </c>
      <c r="F13">
        <v>2E-3</v>
      </c>
      <c r="G13">
        <v>28</v>
      </c>
      <c r="H13">
        <v>85.3</v>
      </c>
      <c r="I13">
        <v>7.16</v>
      </c>
      <c r="J13">
        <v>0</v>
      </c>
      <c r="K13">
        <v>3.8</v>
      </c>
      <c r="L13" s="5">
        <v>910791.94</v>
      </c>
      <c r="M13">
        <v>158891.28</v>
      </c>
      <c r="N13">
        <f t="shared" si="0"/>
        <v>0</v>
      </c>
      <c r="O13">
        <f t="shared" si="3"/>
        <v>0</v>
      </c>
      <c r="P13">
        <f t="shared" si="4"/>
        <v>1</v>
      </c>
      <c r="T13" s="18">
        <v>910791.94</v>
      </c>
      <c r="U13" s="18">
        <v>67979.88</v>
      </c>
      <c r="V13" s="19">
        <v>11230</v>
      </c>
      <c r="W13" s="19">
        <v>2E-3</v>
      </c>
      <c r="X13" s="19">
        <v>0</v>
      </c>
      <c r="Y13" s="19">
        <v>0</v>
      </c>
      <c r="Z13" s="19">
        <v>1</v>
      </c>
    </row>
    <row r="14" spans="1:26">
      <c r="A14" s="2">
        <v>45658</v>
      </c>
      <c r="B14" t="s">
        <v>15</v>
      </c>
      <c r="C14" t="s">
        <v>16</v>
      </c>
      <c r="D14" s="5">
        <v>71828.259999999995</v>
      </c>
      <c r="E14">
        <v>12775</v>
      </c>
      <c r="F14">
        <v>0.11600000000000001</v>
      </c>
      <c r="G14">
        <v>30</v>
      </c>
      <c r="H14">
        <v>81.7</v>
      </c>
      <c r="I14">
        <v>4.24</v>
      </c>
      <c r="J14">
        <v>1</v>
      </c>
      <c r="K14">
        <v>4.2</v>
      </c>
      <c r="L14" s="5">
        <v>922168.6</v>
      </c>
      <c r="M14">
        <v>107494.53</v>
      </c>
      <c r="N14">
        <f t="shared" si="0"/>
        <v>0</v>
      </c>
      <c r="O14">
        <f t="shared" si="3"/>
        <v>0</v>
      </c>
      <c r="P14">
        <f t="shared" si="4"/>
        <v>0</v>
      </c>
      <c r="T14" s="18">
        <v>922168.6</v>
      </c>
      <c r="U14" s="18">
        <v>71828.259999999995</v>
      </c>
      <c r="V14" s="19">
        <v>12775</v>
      </c>
      <c r="W14" s="19">
        <v>0.11600000000000001</v>
      </c>
      <c r="X14" s="19">
        <v>0</v>
      </c>
      <c r="Y14" s="19">
        <v>0</v>
      </c>
      <c r="Z14" s="19">
        <v>0</v>
      </c>
    </row>
    <row r="15" spans="1:26">
      <c r="A15" s="2">
        <v>45689</v>
      </c>
      <c r="B15" t="s">
        <v>15</v>
      </c>
      <c r="C15" t="s">
        <v>16</v>
      </c>
      <c r="D15" s="5">
        <v>55716.82</v>
      </c>
      <c r="E15">
        <v>10054</v>
      </c>
      <c r="F15">
        <v>0.14599999999999999</v>
      </c>
      <c r="G15">
        <v>24</v>
      </c>
      <c r="H15">
        <v>84.9</v>
      </c>
      <c r="I15">
        <v>1.06</v>
      </c>
      <c r="J15">
        <v>0</v>
      </c>
      <c r="K15">
        <v>4.3</v>
      </c>
      <c r="L15" s="5">
        <v>726606.28</v>
      </c>
      <c r="M15">
        <v>122729.29</v>
      </c>
      <c r="N15">
        <f t="shared" si="0"/>
        <v>0</v>
      </c>
      <c r="O15">
        <f t="shared" si="3"/>
        <v>0</v>
      </c>
      <c r="P15">
        <f t="shared" si="4"/>
        <v>0</v>
      </c>
      <c r="T15" s="18">
        <v>726606.28</v>
      </c>
      <c r="U15" s="18">
        <v>55716.82</v>
      </c>
      <c r="V15" s="19">
        <v>10054</v>
      </c>
      <c r="W15" s="19">
        <v>0.14599999999999999</v>
      </c>
      <c r="X15" s="19">
        <v>0</v>
      </c>
      <c r="Y15" s="19">
        <v>0</v>
      </c>
      <c r="Z15" s="19">
        <v>0</v>
      </c>
    </row>
    <row r="16" spans="1:26">
      <c r="A16" s="2">
        <v>45717</v>
      </c>
      <c r="B16" t="s">
        <v>15</v>
      </c>
      <c r="C16" t="s">
        <v>16</v>
      </c>
      <c r="D16" s="5">
        <v>59909.51</v>
      </c>
      <c r="E16">
        <v>8895</v>
      </c>
      <c r="F16">
        <v>0.22800000000000001</v>
      </c>
      <c r="G16">
        <v>23</v>
      </c>
      <c r="H16">
        <v>88.8</v>
      </c>
      <c r="I16">
        <v>0.27</v>
      </c>
      <c r="J16">
        <v>0</v>
      </c>
      <c r="K16">
        <v>4.3</v>
      </c>
      <c r="L16" s="5">
        <v>746501.09</v>
      </c>
      <c r="M16">
        <v>136816.72</v>
      </c>
      <c r="N16">
        <f t="shared" si="0"/>
        <v>0</v>
      </c>
      <c r="O16">
        <f t="shared" si="3"/>
        <v>0</v>
      </c>
      <c r="P16">
        <f t="shared" si="4"/>
        <v>0</v>
      </c>
      <c r="T16" s="18">
        <v>746501.09</v>
      </c>
      <c r="U16" s="18">
        <v>59909.51</v>
      </c>
      <c r="V16" s="19">
        <v>8895</v>
      </c>
      <c r="W16" s="19">
        <v>0.22800000000000001</v>
      </c>
      <c r="X16" s="19">
        <v>0</v>
      </c>
      <c r="Y16" s="19">
        <v>0</v>
      </c>
      <c r="Z16" s="19">
        <v>0</v>
      </c>
    </row>
    <row r="17" spans="1:26">
      <c r="A17" s="2">
        <v>45748</v>
      </c>
      <c r="B17" t="s">
        <v>15</v>
      </c>
      <c r="C17" t="s">
        <v>16</v>
      </c>
      <c r="D17" s="5">
        <v>75305.710000000006</v>
      </c>
      <c r="E17">
        <v>10940</v>
      </c>
      <c r="F17">
        <v>6.0000000000000001E-3</v>
      </c>
      <c r="G17">
        <v>26</v>
      </c>
      <c r="H17">
        <v>76.5</v>
      </c>
      <c r="I17">
        <v>1.32</v>
      </c>
      <c r="J17">
        <v>0</v>
      </c>
      <c r="K17">
        <v>4.5</v>
      </c>
      <c r="L17" s="5">
        <v>834017.02</v>
      </c>
      <c r="M17">
        <v>114745.03</v>
      </c>
      <c r="N17">
        <f>IF(C17="Mall", 1, 0)</f>
        <v>0</v>
      </c>
      <c r="O17">
        <f t="shared" si="3"/>
        <v>0</v>
      </c>
      <c r="P17">
        <f t="shared" si="4"/>
        <v>0</v>
      </c>
      <c r="T17" s="18">
        <v>834017.02</v>
      </c>
      <c r="U17" s="18">
        <v>75305.710000000006</v>
      </c>
      <c r="V17" s="19">
        <v>10940</v>
      </c>
      <c r="W17" s="19">
        <v>6.0000000000000001E-3</v>
      </c>
      <c r="X17" s="19">
        <v>0</v>
      </c>
      <c r="Y17" s="19">
        <v>0</v>
      </c>
      <c r="Z17" s="19">
        <v>0</v>
      </c>
    </row>
    <row r="18" spans="1:26">
      <c r="A18" s="2">
        <v>45658</v>
      </c>
      <c r="B18" t="s">
        <v>24</v>
      </c>
      <c r="C18" t="s">
        <v>16</v>
      </c>
      <c r="D18" s="5">
        <v>48804.22</v>
      </c>
      <c r="E18">
        <v>7057</v>
      </c>
      <c r="F18">
        <v>5.0000000000000001E-3</v>
      </c>
      <c r="G18">
        <v>15</v>
      </c>
      <c r="H18">
        <v>87.7</v>
      </c>
      <c r="I18">
        <v>1.22</v>
      </c>
      <c r="J18">
        <v>0</v>
      </c>
      <c r="K18">
        <v>3.7</v>
      </c>
      <c r="L18" s="5">
        <v>666152.52</v>
      </c>
      <c r="M18">
        <v>107490.58</v>
      </c>
      <c r="N18">
        <f t="shared" si="0"/>
        <v>0</v>
      </c>
      <c r="O18">
        <f t="shared" si="3"/>
        <v>0</v>
      </c>
      <c r="P18">
        <f t="shared" si="4"/>
        <v>0</v>
      </c>
      <c r="T18" s="18">
        <v>666152.52</v>
      </c>
      <c r="U18" s="18">
        <v>48804.22</v>
      </c>
      <c r="V18" s="19">
        <v>7057</v>
      </c>
      <c r="W18" s="19">
        <v>5.0000000000000001E-3</v>
      </c>
      <c r="X18" s="19">
        <v>0</v>
      </c>
      <c r="Y18" s="19">
        <v>0</v>
      </c>
      <c r="Z18" s="19">
        <v>0</v>
      </c>
    </row>
    <row r="19" spans="1:26">
      <c r="A19" s="2">
        <v>45689</v>
      </c>
      <c r="B19" t="s">
        <v>24</v>
      </c>
      <c r="C19" t="s">
        <v>16</v>
      </c>
      <c r="D19" s="5">
        <v>59117.9</v>
      </c>
      <c r="E19">
        <v>4263</v>
      </c>
      <c r="F19">
        <v>0.11899999999999999</v>
      </c>
      <c r="G19">
        <v>9</v>
      </c>
      <c r="H19">
        <v>87.6</v>
      </c>
      <c r="I19">
        <v>4.01</v>
      </c>
      <c r="J19">
        <v>0</v>
      </c>
      <c r="K19">
        <v>3.6</v>
      </c>
      <c r="L19" s="5">
        <v>573155.18999999994</v>
      </c>
      <c r="M19">
        <v>83680.75</v>
      </c>
      <c r="N19">
        <f t="shared" si="0"/>
        <v>0</v>
      </c>
      <c r="O19">
        <f t="shared" si="3"/>
        <v>0</v>
      </c>
      <c r="P19">
        <f t="shared" si="4"/>
        <v>0</v>
      </c>
      <c r="T19" s="18">
        <v>573155.18999999994</v>
      </c>
      <c r="U19" s="18">
        <v>59117.9</v>
      </c>
      <c r="V19" s="19">
        <v>4263</v>
      </c>
      <c r="W19" s="19">
        <v>0.11899999999999999</v>
      </c>
      <c r="X19" s="19">
        <v>0</v>
      </c>
      <c r="Y19" s="19">
        <v>0</v>
      </c>
      <c r="Z19" s="19">
        <v>0</v>
      </c>
    </row>
    <row r="20" spans="1:26">
      <c r="A20" s="2">
        <v>45717</v>
      </c>
      <c r="B20" t="s">
        <v>24</v>
      </c>
      <c r="C20" t="s">
        <v>16</v>
      </c>
      <c r="D20" s="5">
        <v>78831.12</v>
      </c>
      <c r="E20">
        <v>5538</v>
      </c>
      <c r="F20">
        <v>0</v>
      </c>
      <c r="G20">
        <v>15</v>
      </c>
      <c r="H20">
        <v>94.1</v>
      </c>
      <c r="I20">
        <v>0.2</v>
      </c>
      <c r="J20">
        <v>0</v>
      </c>
      <c r="K20">
        <v>3.9</v>
      </c>
      <c r="L20" s="5">
        <v>666573.19999999995</v>
      </c>
      <c r="M20">
        <v>140641.01999999999</v>
      </c>
      <c r="N20">
        <f t="shared" si="0"/>
        <v>0</v>
      </c>
      <c r="O20">
        <f t="shared" si="3"/>
        <v>0</v>
      </c>
      <c r="P20">
        <f t="shared" si="4"/>
        <v>0</v>
      </c>
      <c r="T20" s="18">
        <v>666573.19999999995</v>
      </c>
      <c r="U20" s="18">
        <v>78831.12</v>
      </c>
      <c r="V20" s="19">
        <v>5538</v>
      </c>
      <c r="W20" s="19">
        <v>0</v>
      </c>
      <c r="X20" s="19">
        <v>0</v>
      </c>
      <c r="Y20" s="19">
        <v>0</v>
      </c>
      <c r="Z20" s="19">
        <v>0</v>
      </c>
    </row>
    <row r="21" spans="1:26">
      <c r="A21" s="2">
        <v>45748</v>
      </c>
      <c r="B21" t="s">
        <v>24</v>
      </c>
      <c r="C21" t="s">
        <v>16</v>
      </c>
      <c r="D21" s="5">
        <v>41441.93</v>
      </c>
      <c r="E21">
        <v>4865</v>
      </c>
      <c r="F21">
        <v>0.158</v>
      </c>
      <c r="G21">
        <v>16</v>
      </c>
      <c r="H21">
        <v>88.3</v>
      </c>
      <c r="I21">
        <v>0.5</v>
      </c>
      <c r="J21">
        <v>0</v>
      </c>
      <c r="K21">
        <v>4</v>
      </c>
      <c r="L21" s="5">
        <v>591619.94999999995</v>
      </c>
      <c r="M21">
        <v>99521.35</v>
      </c>
      <c r="N21">
        <f t="shared" si="0"/>
        <v>0</v>
      </c>
      <c r="O21">
        <f t="shared" si="3"/>
        <v>0</v>
      </c>
      <c r="P21">
        <f t="shared" si="4"/>
        <v>0</v>
      </c>
      <c r="T21" s="18">
        <v>591619.94999999995</v>
      </c>
      <c r="U21" s="18">
        <v>41441.93</v>
      </c>
      <c r="V21" s="19">
        <v>4865</v>
      </c>
      <c r="W21" s="19">
        <v>0.158</v>
      </c>
      <c r="X21" s="19">
        <v>0</v>
      </c>
      <c r="Y21" s="19">
        <v>0</v>
      </c>
      <c r="Z21" s="19">
        <v>0</v>
      </c>
    </row>
    <row r="22" spans="1:26">
      <c r="A22" s="2">
        <v>45658</v>
      </c>
      <c r="B22" t="s">
        <v>20</v>
      </c>
      <c r="C22" t="s">
        <v>16</v>
      </c>
      <c r="D22" s="5">
        <v>30356.28</v>
      </c>
      <c r="E22">
        <v>2822</v>
      </c>
      <c r="F22">
        <v>0.23100000000000001</v>
      </c>
      <c r="G22">
        <v>9</v>
      </c>
      <c r="H22">
        <v>84.8</v>
      </c>
      <c r="I22">
        <v>6.95</v>
      </c>
      <c r="J22">
        <v>0</v>
      </c>
      <c r="K22">
        <v>5</v>
      </c>
      <c r="L22" s="5">
        <v>415721.82</v>
      </c>
      <c r="M22">
        <v>61179.15</v>
      </c>
      <c r="N22">
        <f t="shared" si="0"/>
        <v>0</v>
      </c>
      <c r="O22">
        <f t="shared" si="3"/>
        <v>0</v>
      </c>
      <c r="P22">
        <f t="shared" si="4"/>
        <v>0</v>
      </c>
      <c r="T22" s="18">
        <v>415721.82</v>
      </c>
      <c r="U22" s="18">
        <v>30356.28</v>
      </c>
      <c r="V22" s="19">
        <v>2822</v>
      </c>
      <c r="W22" s="19">
        <v>0.23100000000000001</v>
      </c>
      <c r="X22" s="19">
        <v>0</v>
      </c>
      <c r="Y22" s="19">
        <v>0</v>
      </c>
      <c r="Z22" s="19">
        <v>0</v>
      </c>
    </row>
    <row r="23" spans="1:26">
      <c r="A23" s="2">
        <v>45689</v>
      </c>
      <c r="B23" t="s">
        <v>20</v>
      </c>
      <c r="C23" t="s">
        <v>16</v>
      </c>
      <c r="D23" s="5">
        <v>33518.879999999997</v>
      </c>
      <c r="E23">
        <v>2121</v>
      </c>
      <c r="F23">
        <v>0.17599999999999999</v>
      </c>
      <c r="G23">
        <v>8</v>
      </c>
      <c r="H23">
        <v>88.5</v>
      </c>
      <c r="I23">
        <v>0.2</v>
      </c>
      <c r="J23">
        <v>0</v>
      </c>
      <c r="K23">
        <v>5</v>
      </c>
      <c r="L23" s="5">
        <v>491905.13</v>
      </c>
      <c r="M23">
        <v>79212.259999999995</v>
      </c>
      <c r="N23">
        <f t="shared" si="0"/>
        <v>0</v>
      </c>
      <c r="O23">
        <f t="shared" si="3"/>
        <v>0</v>
      </c>
      <c r="P23">
        <f t="shared" si="4"/>
        <v>0</v>
      </c>
      <c r="T23" s="18">
        <v>491905.13</v>
      </c>
      <c r="U23" s="18">
        <v>33518.879999999997</v>
      </c>
      <c r="V23" s="19">
        <v>2121</v>
      </c>
      <c r="W23" s="19">
        <v>0.17599999999999999</v>
      </c>
      <c r="X23" s="19">
        <v>0</v>
      </c>
      <c r="Y23" s="19">
        <v>0</v>
      </c>
      <c r="Z23" s="19">
        <v>0</v>
      </c>
    </row>
    <row r="24" spans="1:26">
      <c r="A24" s="2">
        <v>45717</v>
      </c>
      <c r="B24" t="s">
        <v>20</v>
      </c>
      <c r="C24" t="s">
        <v>16</v>
      </c>
      <c r="D24" s="5">
        <v>42267.37</v>
      </c>
      <c r="E24">
        <v>3364</v>
      </c>
      <c r="F24">
        <v>0.16</v>
      </c>
      <c r="G24">
        <v>13</v>
      </c>
      <c r="H24">
        <v>82</v>
      </c>
      <c r="I24">
        <v>1.61</v>
      </c>
      <c r="J24">
        <v>1</v>
      </c>
      <c r="K24">
        <v>4.5999999999999996</v>
      </c>
      <c r="L24" s="5">
        <v>555929.4</v>
      </c>
      <c r="M24">
        <v>115201.76</v>
      </c>
      <c r="N24">
        <f t="shared" si="0"/>
        <v>0</v>
      </c>
      <c r="O24">
        <f t="shared" si="3"/>
        <v>0</v>
      </c>
      <c r="P24">
        <f t="shared" si="4"/>
        <v>0</v>
      </c>
      <c r="T24" s="18">
        <v>555929.4</v>
      </c>
      <c r="U24" s="18">
        <v>42267.37</v>
      </c>
      <c r="V24" s="19">
        <v>3364</v>
      </c>
      <c r="W24" s="19">
        <v>0.16</v>
      </c>
      <c r="X24" s="19">
        <v>0</v>
      </c>
      <c r="Y24" s="19">
        <v>0</v>
      </c>
      <c r="Z24" s="19">
        <v>0</v>
      </c>
    </row>
    <row r="25" spans="1:26">
      <c r="A25" s="2">
        <v>45748</v>
      </c>
      <c r="B25" t="s">
        <v>20</v>
      </c>
      <c r="C25" t="s">
        <v>16</v>
      </c>
      <c r="D25" s="5">
        <v>62060.43</v>
      </c>
      <c r="E25">
        <v>2613</v>
      </c>
      <c r="F25">
        <v>0.216</v>
      </c>
      <c r="G25">
        <v>12</v>
      </c>
      <c r="H25">
        <v>92.1</v>
      </c>
      <c r="I25">
        <v>1.55</v>
      </c>
      <c r="J25">
        <v>0</v>
      </c>
      <c r="K25">
        <v>4.7</v>
      </c>
      <c r="L25" s="5">
        <v>565810.99</v>
      </c>
      <c r="M25">
        <v>77825.460000000006</v>
      </c>
      <c r="N25">
        <f t="shared" si="0"/>
        <v>0</v>
      </c>
      <c r="O25">
        <f t="shared" si="3"/>
        <v>0</v>
      </c>
      <c r="P25">
        <f t="shared" si="4"/>
        <v>0</v>
      </c>
      <c r="T25" s="18">
        <v>565810.99</v>
      </c>
      <c r="U25" s="18">
        <v>62060.43</v>
      </c>
      <c r="V25" s="19">
        <v>2613</v>
      </c>
      <c r="W25" s="19">
        <v>0.216</v>
      </c>
      <c r="X25" s="19">
        <v>0</v>
      </c>
      <c r="Y25" s="19">
        <v>0</v>
      </c>
      <c r="Z25" s="19">
        <v>0</v>
      </c>
    </row>
    <row r="26" spans="1:26">
      <c r="A26" s="2">
        <v>45658</v>
      </c>
      <c r="B26" t="s">
        <v>27</v>
      </c>
      <c r="C26" t="s">
        <v>28</v>
      </c>
      <c r="D26" s="5">
        <v>57696.69</v>
      </c>
      <c r="E26">
        <v>10218</v>
      </c>
      <c r="F26">
        <v>0.121</v>
      </c>
      <c r="G26">
        <v>25</v>
      </c>
      <c r="H26">
        <v>94.8</v>
      </c>
      <c r="I26">
        <v>2.99</v>
      </c>
      <c r="J26">
        <v>0</v>
      </c>
      <c r="K26">
        <v>3.5</v>
      </c>
      <c r="L26" s="5">
        <v>811771.14</v>
      </c>
      <c r="M26">
        <v>148756.24</v>
      </c>
      <c r="N26">
        <f t="shared" si="0"/>
        <v>1</v>
      </c>
      <c r="O26">
        <f t="shared" si="3"/>
        <v>0</v>
      </c>
      <c r="P26">
        <f t="shared" si="4"/>
        <v>0</v>
      </c>
      <c r="T26" s="18">
        <v>811771.14</v>
      </c>
      <c r="U26" s="18">
        <v>57696.69</v>
      </c>
      <c r="V26" s="19">
        <v>10218</v>
      </c>
      <c r="W26" s="19">
        <v>0.121</v>
      </c>
      <c r="X26" s="19">
        <v>1</v>
      </c>
      <c r="Y26" s="19">
        <v>0</v>
      </c>
      <c r="Z26" s="19">
        <v>0</v>
      </c>
    </row>
    <row r="27" spans="1:26">
      <c r="A27" s="2">
        <v>45689</v>
      </c>
      <c r="B27" t="s">
        <v>27</v>
      </c>
      <c r="C27" t="s">
        <v>28</v>
      </c>
      <c r="D27" s="5">
        <v>172415.52</v>
      </c>
      <c r="E27">
        <v>8927</v>
      </c>
      <c r="F27">
        <v>0.14000000000000001</v>
      </c>
      <c r="G27">
        <v>22</v>
      </c>
      <c r="H27">
        <v>86.2</v>
      </c>
      <c r="I27">
        <v>7.04</v>
      </c>
      <c r="J27">
        <v>0</v>
      </c>
      <c r="K27">
        <v>3.9</v>
      </c>
      <c r="L27" s="5">
        <v>800451.94</v>
      </c>
      <c r="M27">
        <v>111572.29</v>
      </c>
      <c r="N27">
        <f t="shared" si="0"/>
        <v>1</v>
      </c>
      <c r="O27">
        <f t="shared" si="3"/>
        <v>0</v>
      </c>
      <c r="P27">
        <f t="shared" si="4"/>
        <v>0</v>
      </c>
      <c r="T27" s="18">
        <v>800451.94</v>
      </c>
      <c r="U27" s="18">
        <v>172415.52</v>
      </c>
      <c r="V27" s="19">
        <v>8927</v>
      </c>
      <c r="W27" s="19">
        <v>0.14000000000000001</v>
      </c>
      <c r="X27" s="19">
        <v>1</v>
      </c>
      <c r="Y27" s="19">
        <v>0</v>
      </c>
      <c r="Z27" s="19">
        <v>0</v>
      </c>
    </row>
    <row r="28" spans="1:26">
      <c r="A28" s="2">
        <v>45717</v>
      </c>
      <c r="B28" t="s">
        <v>27</v>
      </c>
      <c r="C28" t="s">
        <v>28</v>
      </c>
      <c r="D28" s="5">
        <v>55270.52</v>
      </c>
      <c r="E28">
        <v>9315</v>
      </c>
      <c r="F28">
        <v>0.16900000000000001</v>
      </c>
      <c r="G28">
        <v>23</v>
      </c>
      <c r="H28">
        <v>91.9</v>
      </c>
      <c r="I28">
        <v>4.9400000000000004</v>
      </c>
      <c r="J28">
        <v>0</v>
      </c>
      <c r="K28">
        <v>4</v>
      </c>
      <c r="L28" s="5">
        <v>783672.82</v>
      </c>
      <c r="M28">
        <v>112577.14</v>
      </c>
      <c r="N28">
        <f t="shared" si="0"/>
        <v>1</v>
      </c>
      <c r="O28">
        <f t="shared" si="3"/>
        <v>0</v>
      </c>
      <c r="P28">
        <f t="shared" si="4"/>
        <v>0</v>
      </c>
      <c r="T28" s="18">
        <v>783672.82</v>
      </c>
      <c r="U28" s="18">
        <v>55270.52</v>
      </c>
      <c r="V28" s="19">
        <v>9315</v>
      </c>
      <c r="W28" s="19">
        <v>0.16900000000000001</v>
      </c>
      <c r="X28" s="19">
        <v>1</v>
      </c>
      <c r="Y28" s="19">
        <v>0</v>
      </c>
      <c r="Z28" s="19">
        <v>0</v>
      </c>
    </row>
    <row r="29" spans="1:26">
      <c r="A29" s="2">
        <v>45748</v>
      </c>
      <c r="B29" t="s">
        <v>27</v>
      </c>
      <c r="C29" t="s">
        <v>28</v>
      </c>
      <c r="D29" s="5">
        <v>52715.1</v>
      </c>
      <c r="E29">
        <v>7223</v>
      </c>
      <c r="F29">
        <v>0.122</v>
      </c>
      <c r="G29">
        <v>16</v>
      </c>
      <c r="H29">
        <v>84.2</v>
      </c>
      <c r="I29">
        <v>16.149999999999999</v>
      </c>
      <c r="J29">
        <v>0</v>
      </c>
      <c r="K29">
        <v>3.7</v>
      </c>
      <c r="L29" s="5">
        <v>701641.97</v>
      </c>
      <c r="M29">
        <v>106111.86</v>
      </c>
      <c r="N29">
        <f t="shared" si="0"/>
        <v>1</v>
      </c>
      <c r="O29">
        <f t="shared" si="3"/>
        <v>0</v>
      </c>
      <c r="P29">
        <f t="shared" si="4"/>
        <v>0</v>
      </c>
      <c r="T29" s="18">
        <v>701641.97</v>
      </c>
      <c r="U29" s="18">
        <v>52715.1</v>
      </c>
      <c r="V29" s="19">
        <v>7223</v>
      </c>
      <c r="W29" s="19">
        <v>0.122</v>
      </c>
      <c r="X29" s="19">
        <v>1</v>
      </c>
      <c r="Y29" s="19">
        <v>0</v>
      </c>
      <c r="Z29" s="19">
        <v>0</v>
      </c>
    </row>
    <row r="30" spans="1:26">
      <c r="A30" s="2">
        <v>45658</v>
      </c>
      <c r="B30" t="s">
        <v>15</v>
      </c>
      <c r="C30" t="s">
        <v>16</v>
      </c>
      <c r="D30" s="5">
        <v>68600.62</v>
      </c>
      <c r="E30">
        <v>3988</v>
      </c>
      <c r="F30">
        <v>0.124</v>
      </c>
      <c r="G30">
        <v>11</v>
      </c>
      <c r="H30">
        <v>85</v>
      </c>
      <c r="I30">
        <v>0.48</v>
      </c>
      <c r="J30">
        <v>0</v>
      </c>
      <c r="K30">
        <v>3.6</v>
      </c>
      <c r="L30" s="5">
        <v>511844.41</v>
      </c>
      <c r="M30">
        <v>72774.44</v>
      </c>
      <c r="N30">
        <f t="shared" si="0"/>
        <v>0</v>
      </c>
      <c r="O30">
        <f t="shared" si="3"/>
        <v>0</v>
      </c>
      <c r="P30">
        <f t="shared" si="4"/>
        <v>0</v>
      </c>
      <c r="T30" s="18">
        <v>511844.41</v>
      </c>
      <c r="U30" s="18">
        <v>68600.62</v>
      </c>
      <c r="V30" s="19">
        <v>3988</v>
      </c>
      <c r="W30" s="19">
        <v>0.124</v>
      </c>
      <c r="X30" s="19">
        <v>0</v>
      </c>
      <c r="Y30" s="19">
        <v>0</v>
      </c>
      <c r="Z30" s="19">
        <v>0</v>
      </c>
    </row>
    <row r="31" spans="1:26">
      <c r="A31" s="2">
        <v>45689</v>
      </c>
      <c r="B31" t="s">
        <v>15</v>
      </c>
      <c r="C31" t="s">
        <v>16</v>
      </c>
      <c r="D31" s="5">
        <v>63176.73</v>
      </c>
      <c r="E31">
        <v>2390</v>
      </c>
      <c r="F31">
        <v>0.216</v>
      </c>
      <c r="G31">
        <v>9</v>
      </c>
      <c r="H31">
        <v>87.5</v>
      </c>
      <c r="I31">
        <v>0.31</v>
      </c>
      <c r="J31">
        <v>0</v>
      </c>
      <c r="K31">
        <v>3.1</v>
      </c>
      <c r="L31" s="5">
        <v>537383.79</v>
      </c>
      <c r="M31">
        <v>63773.27</v>
      </c>
      <c r="N31">
        <f t="shared" si="0"/>
        <v>0</v>
      </c>
      <c r="O31">
        <f t="shared" si="3"/>
        <v>0</v>
      </c>
      <c r="P31">
        <f t="shared" si="4"/>
        <v>0</v>
      </c>
      <c r="T31" s="18">
        <v>537383.79</v>
      </c>
      <c r="U31" s="18">
        <v>63176.73</v>
      </c>
      <c r="V31" s="19">
        <v>2390</v>
      </c>
      <c r="W31" s="19">
        <v>0.216</v>
      </c>
      <c r="X31" s="19">
        <v>0</v>
      </c>
      <c r="Y31" s="19">
        <v>0</v>
      </c>
      <c r="Z31" s="19">
        <v>0</v>
      </c>
    </row>
    <row r="32" spans="1:26">
      <c r="A32" s="2">
        <v>45717</v>
      </c>
      <c r="B32" t="s">
        <v>15</v>
      </c>
      <c r="C32" t="s">
        <v>16</v>
      </c>
      <c r="D32" s="5">
        <v>44970.080000000002</v>
      </c>
      <c r="E32">
        <v>2471</v>
      </c>
      <c r="F32">
        <v>0.13600000000000001</v>
      </c>
      <c r="G32">
        <v>11</v>
      </c>
      <c r="H32">
        <v>87.6</v>
      </c>
      <c r="I32">
        <v>3.01</v>
      </c>
      <c r="J32">
        <v>1</v>
      </c>
      <c r="K32">
        <v>3.7</v>
      </c>
      <c r="L32" s="5">
        <v>500173.02</v>
      </c>
      <c r="M32">
        <v>70982.05</v>
      </c>
      <c r="N32">
        <f t="shared" si="0"/>
        <v>0</v>
      </c>
      <c r="O32">
        <f t="shared" si="3"/>
        <v>0</v>
      </c>
      <c r="P32">
        <f t="shared" si="4"/>
        <v>0</v>
      </c>
      <c r="T32" s="18">
        <v>500173.02</v>
      </c>
      <c r="U32" s="18">
        <v>44970.080000000002</v>
      </c>
      <c r="V32" s="19">
        <v>2471</v>
      </c>
      <c r="W32" s="19">
        <v>0.13600000000000001</v>
      </c>
      <c r="X32" s="19">
        <v>0</v>
      </c>
      <c r="Y32" s="19">
        <v>0</v>
      </c>
      <c r="Z32" s="19">
        <v>0</v>
      </c>
    </row>
    <row r="33" spans="1:26">
      <c r="A33" s="2">
        <v>45748</v>
      </c>
      <c r="B33" t="s">
        <v>15</v>
      </c>
      <c r="C33" t="s">
        <v>16</v>
      </c>
      <c r="D33" s="5">
        <v>69816.350000000006</v>
      </c>
      <c r="E33">
        <v>971</v>
      </c>
      <c r="F33">
        <v>0.16800000000000001</v>
      </c>
      <c r="G33">
        <v>5</v>
      </c>
      <c r="H33">
        <v>89.9</v>
      </c>
      <c r="I33">
        <v>12.15</v>
      </c>
      <c r="J33">
        <v>0</v>
      </c>
      <c r="K33">
        <v>3.6</v>
      </c>
      <c r="L33" s="5">
        <v>427917.38</v>
      </c>
      <c r="M33">
        <v>81824.31</v>
      </c>
      <c r="N33">
        <f t="shared" si="0"/>
        <v>0</v>
      </c>
      <c r="O33">
        <f t="shared" si="3"/>
        <v>0</v>
      </c>
      <c r="P33">
        <f t="shared" si="4"/>
        <v>0</v>
      </c>
      <c r="T33" s="18">
        <v>427917.38</v>
      </c>
      <c r="U33" s="18">
        <v>69816.350000000006</v>
      </c>
      <c r="V33" s="19">
        <v>971</v>
      </c>
      <c r="W33" s="19">
        <v>0.16800000000000001</v>
      </c>
      <c r="X33" s="19">
        <v>0</v>
      </c>
      <c r="Y33" s="19">
        <v>0</v>
      </c>
      <c r="Z33" s="19">
        <v>0</v>
      </c>
    </row>
    <row r="34" spans="1:26">
      <c r="A34" s="2">
        <v>45658</v>
      </c>
      <c r="B34" t="s">
        <v>20</v>
      </c>
      <c r="C34" t="s">
        <v>16</v>
      </c>
      <c r="D34" s="5">
        <v>54597.83</v>
      </c>
      <c r="E34">
        <v>9429</v>
      </c>
      <c r="F34">
        <v>0.188</v>
      </c>
      <c r="G34">
        <v>21</v>
      </c>
      <c r="H34">
        <v>83.3</v>
      </c>
      <c r="I34">
        <v>11.71</v>
      </c>
      <c r="J34">
        <v>0</v>
      </c>
      <c r="K34">
        <v>4.2</v>
      </c>
      <c r="L34" s="5">
        <v>641865.03</v>
      </c>
      <c r="M34">
        <v>81342.58</v>
      </c>
      <c r="N34">
        <f t="shared" si="0"/>
        <v>0</v>
      </c>
      <c r="O34">
        <f t="shared" si="3"/>
        <v>0</v>
      </c>
      <c r="P34">
        <f t="shared" si="4"/>
        <v>0</v>
      </c>
      <c r="T34" s="18">
        <v>641865.03</v>
      </c>
      <c r="U34" s="18">
        <v>54597.83</v>
      </c>
      <c r="V34" s="19">
        <v>9429</v>
      </c>
      <c r="W34" s="19">
        <v>0.188</v>
      </c>
      <c r="X34" s="19">
        <v>0</v>
      </c>
      <c r="Y34" s="19">
        <v>0</v>
      </c>
      <c r="Z34" s="19">
        <v>0</v>
      </c>
    </row>
    <row r="35" spans="1:26">
      <c r="A35" s="2">
        <v>45689</v>
      </c>
      <c r="B35" t="s">
        <v>20</v>
      </c>
      <c r="C35" t="s">
        <v>16</v>
      </c>
      <c r="D35" s="5">
        <v>73771.91</v>
      </c>
      <c r="E35">
        <v>11695</v>
      </c>
      <c r="F35">
        <v>7.0000000000000007E-2</v>
      </c>
      <c r="G35">
        <v>25</v>
      </c>
      <c r="H35">
        <v>84.7</v>
      </c>
      <c r="I35">
        <v>0.62</v>
      </c>
      <c r="J35">
        <v>0</v>
      </c>
      <c r="L35" s="5">
        <v>799477.76000000001</v>
      </c>
      <c r="M35">
        <v>164974.41</v>
      </c>
      <c r="N35">
        <f t="shared" si="0"/>
        <v>0</v>
      </c>
      <c r="O35">
        <f t="shared" si="3"/>
        <v>0</v>
      </c>
      <c r="P35">
        <f t="shared" si="4"/>
        <v>0</v>
      </c>
      <c r="T35" s="18">
        <v>799477.76000000001</v>
      </c>
      <c r="U35" s="18">
        <v>73771.91</v>
      </c>
      <c r="V35" s="19">
        <v>11695</v>
      </c>
      <c r="W35" s="19">
        <v>7.0000000000000007E-2</v>
      </c>
      <c r="X35" s="19">
        <v>0</v>
      </c>
      <c r="Y35" s="19">
        <v>0</v>
      </c>
      <c r="Z35" s="19">
        <v>0</v>
      </c>
    </row>
    <row r="36" spans="1:26">
      <c r="A36" s="2">
        <v>45717</v>
      </c>
      <c r="B36" t="s">
        <v>20</v>
      </c>
      <c r="C36" t="s">
        <v>16</v>
      </c>
      <c r="D36" s="5">
        <v>74413.88</v>
      </c>
      <c r="E36">
        <v>9449</v>
      </c>
      <c r="F36">
        <v>3.9E-2</v>
      </c>
      <c r="G36">
        <v>23</v>
      </c>
      <c r="H36">
        <v>92.1</v>
      </c>
      <c r="I36">
        <v>2.12</v>
      </c>
      <c r="J36">
        <v>0</v>
      </c>
      <c r="K36">
        <v>3.5</v>
      </c>
      <c r="L36" s="5">
        <v>798952.17</v>
      </c>
      <c r="M36">
        <v>161499.04</v>
      </c>
      <c r="N36">
        <f t="shared" si="0"/>
        <v>0</v>
      </c>
      <c r="O36">
        <f t="shared" si="3"/>
        <v>0</v>
      </c>
      <c r="P36">
        <f t="shared" si="4"/>
        <v>0</v>
      </c>
      <c r="T36" s="18">
        <v>798952.17</v>
      </c>
      <c r="U36" s="18">
        <v>74413.88</v>
      </c>
      <c r="V36" s="19">
        <v>9449</v>
      </c>
      <c r="W36" s="19">
        <v>3.9E-2</v>
      </c>
      <c r="X36" s="19">
        <v>0</v>
      </c>
      <c r="Y36" s="19">
        <v>0</v>
      </c>
      <c r="Z36" s="19">
        <v>0</v>
      </c>
    </row>
    <row r="37" spans="1:26">
      <c r="A37" s="2">
        <v>45748</v>
      </c>
      <c r="B37" t="s">
        <v>20</v>
      </c>
      <c r="C37" t="s">
        <v>16</v>
      </c>
      <c r="D37" s="5">
        <v>52483.77</v>
      </c>
      <c r="E37">
        <v>10453</v>
      </c>
      <c r="F37">
        <v>0.247</v>
      </c>
      <c r="G37">
        <v>25</v>
      </c>
      <c r="H37">
        <v>99</v>
      </c>
      <c r="I37">
        <v>6.31</v>
      </c>
      <c r="J37">
        <v>0</v>
      </c>
      <c r="K37">
        <v>3.6</v>
      </c>
      <c r="L37" s="5">
        <v>800979.78</v>
      </c>
      <c r="M37">
        <v>149242.26999999999</v>
      </c>
      <c r="N37">
        <f t="shared" si="0"/>
        <v>0</v>
      </c>
      <c r="O37">
        <f t="shared" si="3"/>
        <v>0</v>
      </c>
      <c r="P37">
        <f t="shared" si="4"/>
        <v>0</v>
      </c>
      <c r="T37" s="18">
        <v>800979.78</v>
      </c>
      <c r="U37" s="18">
        <v>52483.77</v>
      </c>
      <c r="V37" s="19">
        <v>10453</v>
      </c>
      <c r="W37" s="19">
        <v>0.247</v>
      </c>
      <c r="X37" s="19">
        <v>0</v>
      </c>
      <c r="Y37" s="19">
        <v>0</v>
      </c>
      <c r="Z37" s="19">
        <v>0</v>
      </c>
    </row>
    <row r="38" spans="1:26">
      <c r="A38" s="2">
        <v>45658</v>
      </c>
      <c r="B38" t="s">
        <v>20</v>
      </c>
      <c r="C38" t="s">
        <v>28</v>
      </c>
      <c r="D38" s="5">
        <v>75269.87</v>
      </c>
      <c r="E38">
        <v>8838</v>
      </c>
      <c r="F38">
        <v>9.1999999999999998E-2</v>
      </c>
      <c r="G38">
        <v>21</v>
      </c>
      <c r="H38">
        <v>83.1</v>
      </c>
      <c r="I38">
        <v>9.56</v>
      </c>
      <c r="J38">
        <v>1</v>
      </c>
      <c r="K38">
        <v>4.2</v>
      </c>
      <c r="L38" s="5">
        <v>820593.93</v>
      </c>
      <c r="M38">
        <v>115860.06</v>
      </c>
      <c r="N38">
        <f t="shared" si="0"/>
        <v>1</v>
      </c>
      <c r="O38">
        <f t="shared" si="3"/>
        <v>0</v>
      </c>
      <c r="P38">
        <f t="shared" si="4"/>
        <v>0</v>
      </c>
      <c r="T38" s="18">
        <v>820593.93</v>
      </c>
      <c r="U38" s="18">
        <v>75269.87</v>
      </c>
      <c r="V38" s="19">
        <v>8838</v>
      </c>
      <c r="W38" s="19">
        <v>9.1999999999999998E-2</v>
      </c>
      <c r="X38" s="19">
        <v>1</v>
      </c>
      <c r="Y38" s="19">
        <v>0</v>
      </c>
      <c r="Z38" s="19">
        <v>0</v>
      </c>
    </row>
    <row r="39" spans="1:26">
      <c r="A39" s="2">
        <v>45689</v>
      </c>
      <c r="B39" t="s">
        <v>20</v>
      </c>
      <c r="C39" t="s">
        <v>28</v>
      </c>
      <c r="D39" s="5">
        <v>61245.41</v>
      </c>
      <c r="E39">
        <v>8156</v>
      </c>
      <c r="F39">
        <v>0.156</v>
      </c>
      <c r="G39">
        <v>19</v>
      </c>
      <c r="H39">
        <v>92.9</v>
      </c>
      <c r="I39">
        <v>9.0500000000000007</v>
      </c>
      <c r="J39">
        <v>0</v>
      </c>
      <c r="K39">
        <v>3.8</v>
      </c>
      <c r="L39" s="5">
        <v>718330.53</v>
      </c>
      <c r="M39">
        <v>93247.9</v>
      </c>
      <c r="N39">
        <f t="shared" si="0"/>
        <v>1</v>
      </c>
      <c r="O39">
        <f t="shared" si="3"/>
        <v>0</v>
      </c>
      <c r="P39">
        <f t="shared" si="4"/>
        <v>0</v>
      </c>
      <c r="T39" s="18">
        <v>718330.53</v>
      </c>
      <c r="U39" s="18">
        <v>61245.41</v>
      </c>
      <c r="V39" s="19">
        <v>8156</v>
      </c>
      <c r="W39" s="19">
        <v>0.156</v>
      </c>
      <c r="X39" s="19">
        <v>1</v>
      </c>
      <c r="Y39" s="19">
        <v>0</v>
      </c>
      <c r="Z39" s="19">
        <v>0</v>
      </c>
    </row>
    <row r="40" spans="1:26">
      <c r="A40" s="2">
        <v>45717</v>
      </c>
      <c r="B40" t="s">
        <v>20</v>
      </c>
      <c r="C40" t="s">
        <v>28</v>
      </c>
      <c r="D40" s="5">
        <v>93381.26</v>
      </c>
      <c r="E40">
        <v>7562</v>
      </c>
      <c r="F40">
        <v>0.19800000000000001</v>
      </c>
      <c r="G40">
        <v>19</v>
      </c>
      <c r="H40">
        <v>82.9</v>
      </c>
      <c r="I40">
        <v>5.05</v>
      </c>
      <c r="J40">
        <v>0</v>
      </c>
      <c r="K40">
        <v>4</v>
      </c>
      <c r="L40" s="5">
        <v>736633.4</v>
      </c>
      <c r="M40">
        <v>115654.66</v>
      </c>
      <c r="N40">
        <f t="shared" si="0"/>
        <v>1</v>
      </c>
      <c r="O40">
        <f t="shared" si="3"/>
        <v>0</v>
      </c>
      <c r="P40">
        <f t="shared" si="4"/>
        <v>0</v>
      </c>
      <c r="T40" s="18">
        <v>736633.4</v>
      </c>
      <c r="U40" s="18">
        <v>93381.26</v>
      </c>
      <c r="V40" s="19">
        <v>7562</v>
      </c>
      <c r="W40" s="19">
        <v>0.19800000000000001</v>
      </c>
      <c r="X40" s="19">
        <v>1</v>
      </c>
      <c r="Y40" s="19">
        <v>0</v>
      </c>
      <c r="Z40" s="19">
        <v>0</v>
      </c>
    </row>
    <row r="41" spans="1:26">
      <c r="A41" s="2">
        <v>45748</v>
      </c>
      <c r="B41" t="s">
        <v>20</v>
      </c>
      <c r="C41" t="s">
        <v>28</v>
      </c>
      <c r="D41" s="5">
        <v>65012.19</v>
      </c>
      <c r="E41">
        <v>9598</v>
      </c>
      <c r="F41">
        <v>8.5000000000000006E-2</v>
      </c>
      <c r="G41">
        <v>24</v>
      </c>
      <c r="H41">
        <v>98.3</v>
      </c>
      <c r="I41">
        <v>0.89</v>
      </c>
      <c r="J41">
        <v>0</v>
      </c>
      <c r="K41">
        <v>3.8</v>
      </c>
      <c r="L41" s="5">
        <v>828623.85</v>
      </c>
      <c r="M41">
        <v>167320.51999999999</v>
      </c>
      <c r="N41">
        <f t="shared" si="0"/>
        <v>1</v>
      </c>
      <c r="O41">
        <f t="shared" si="3"/>
        <v>0</v>
      </c>
      <c r="P41">
        <f t="shared" si="4"/>
        <v>0</v>
      </c>
      <c r="T41" s="18">
        <v>828623.85</v>
      </c>
      <c r="U41" s="18">
        <v>65012.19</v>
      </c>
      <c r="V41" s="19">
        <v>9598</v>
      </c>
      <c r="W41" s="19">
        <v>8.5000000000000006E-2</v>
      </c>
      <c r="X41" s="19">
        <v>1</v>
      </c>
      <c r="Y41" s="19">
        <v>0</v>
      </c>
      <c r="Z41" s="19">
        <v>0</v>
      </c>
    </row>
    <row r="42" spans="1:26">
      <c r="A42" s="2">
        <v>45658</v>
      </c>
      <c r="B42" t="s">
        <v>15</v>
      </c>
      <c r="C42" t="s">
        <v>28</v>
      </c>
      <c r="D42" s="5">
        <v>40462.94</v>
      </c>
      <c r="E42">
        <v>3660</v>
      </c>
      <c r="F42">
        <v>0.218</v>
      </c>
      <c r="G42">
        <v>11</v>
      </c>
      <c r="H42">
        <v>95.2</v>
      </c>
      <c r="I42">
        <v>5.57</v>
      </c>
      <c r="J42">
        <v>0</v>
      </c>
      <c r="K42">
        <v>4.4000000000000004</v>
      </c>
      <c r="L42" s="5">
        <v>592195.85</v>
      </c>
      <c r="M42">
        <v>92291.56</v>
      </c>
      <c r="N42">
        <f t="shared" si="0"/>
        <v>1</v>
      </c>
      <c r="O42">
        <f t="shared" si="3"/>
        <v>0</v>
      </c>
      <c r="P42">
        <f t="shared" si="4"/>
        <v>0</v>
      </c>
      <c r="T42" s="18">
        <v>592195.85</v>
      </c>
      <c r="U42" s="18">
        <v>40462.94</v>
      </c>
      <c r="V42" s="19">
        <v>3660</v>
      </c>
      <c r="W42" s="19">
        <v>0.218</v>
      </c>
      <c r="X42" s="19">
        <v>1</v>
      </c>
      <c r="Y42" s="19">
        <v>0</v>
      </c>
      <c r="Z42" s="19">
        <v>0</v>
      </c>
    </row>
    <row r="43" spans="1:26">
      <c r="A43" s="2">
        <v>45689</v>
      </c>
      <c r="B43" t="s">
        <v>15</v>
      </c>
      <c r="C43" t="s">
        <v>28</v>
      </c>
      <c r="D43" s="5">
        <v>46123.88</v>
      </c>
      <c r="E43">
        <v>3227</v>
      </c>
      <c r="F43">
        <v>0.14299999999999999</v>
      </c>
      <c r="G43">
        <v>10</v>
      </c>
      <c r="H43">
        <v>75.400000000000006</v>
      </c>
      <c r="I43">
        <v>1.06</v>
      </c>
      <c r="J43">
        <v>0</v>
      </c>
      <c r="K43">
        <v>4.4000000000000004</v>
      </c>
      <c r="L43" s="5">
        <v>532644.46</v>
      </c>
      <c r="M43">
        <v>60681.32</v>
      </c>
      <c r="N43">
        <f t="shared" si="0"/>
        <v>1</v>
      </c>
      <c r="O43">
        <f t="shared" si="3"/>
        <v>0</v>
      </c>
      <c r="P43">
        <f t="shared" si="4"/>
        <v>0</v>
      </c>
      <c r="T43" s="18">
        <v>532644.46</v>
      </c>
      <c r="U43" s="18">
        <v>46123.88</v>
      </c>
      <c r="V43" s="19">
        <v>3227</v>
      </c>
      <c r="W43" s="19">
        <v>0.14299999999999999</v>
      </c>
      <c r="X43" s="19">
        <v>1</v>
      </c>
      <c r="Y43" s="19">
        <v>0</v>
      </c>
      <c r="Z43" s="19">
        <v>0</v>
      </c>
    </row>
    <row r="44" spans="1:26">
      <c r="A44" s="2">
        <v>45717</v>
      </c>
      <c r="B44" t="s">
        <v>15</v>
      </c>
      <c r="C44" t="s">
        <v>28</v>
      </c>
      <c r="D44" s="5">
        <v>68077.539999999994</v>
      </c>
      <c r="E44">
        <v>3360</v>
      </c>
      <c r="F44">
        <v>0.128</v>
      </c>
      <c r="G44">
        <v>14</v>
      </c>
      <c r="H44">
        <v>88.2</v>
      </c>
      <c r="I44">
        <v>1.24</v>
      </c>
      <c r="J44">
        <v>1</v>
      </c>
      <c r="K44">
        <v>4</v>
      </c>
      <c r="L44" s="5">
        <v>657429.18000000005</v>
      </c>
      <c r="M44">
        <v>88919.74</v>
      </c>
      <c r="N44">
        <f t="shared" si="0"/>
        <v>1</v>
      </c>
      <c r="O44">
        <f t="shared" si="3"/>
        <v>0</v>
      </c>
      <c r="P44">
        <f t="shared" si="4"/>
        <v>0</v>
      </c>
      <c r="T44" s="18">
        <v>657429.18000000005</v>
      </c>
      <c r="U44" s="18">
        <v>68077.539999999994</v>
      </c>
      <c r="V44" s="19">
        <v>3360</v>
      </c>
      <c r="W44" s="19">
        <v>0.128</v>
      </c>
      <c r="X44" s="19">
        <v>1</v>
      </c>
      <c r="Y44" s="19">
        <v>0</v>
      </c>
      <c r="Z44" s="19">
        <v>0</v>
      </c>
    </row>
    <row r="45" spans="1:26">
      <c r="A45" s="2">
        <v>45748</v>
      </c>
      <c r="B45" t="s">
        <v>15</v>
      </c>
      <c r="C45" t="s">
        <v>28</v>
      </c>
      <c r="D45" s="5">
        <v>64882.14</v>
      </c>
      <c r="E45">
        <v>3642</v>
      </c>
      <c r="F45">
        <v>1.9E-2</v>
      </c>
      <c r="G45">
        <v>13</v>
      </c>
      <c r="H45">
        <v>87.8</v>
      </c>
      <c r="I45">
        <v>4.5199999999999996</v>
      </c>
      <c r="J45">
        <v>0</v>
      </c>
      <c r="K45">
        <v>4.2</v>
      </c>
      <c r="L45" s="5">
        <v>605178</v>
      </c>
      <c r="M45">
        <v>106958.74</v>
      </c>
      <c r="N45">
        <f t="shared" si="0"/>
        <v>1</v>
      </c>
      <c r="O45">
        <f t="shared" si="3"/>
        <v>0</v>
      </c>
      <c r="P45">
        <f t="shared" si="4"/>
        <v>0</v>
      </c>
      <c r="T45" s="18">
        <v>605178</v>
      </c>
      <c r="U45" s="18">
        <v>64882.14</v>
      </c>
      <c r="V45" s="19">
        <v>3642</v>
      </c>
      <c r="W45" s="19">
        <v>1.9E-2</v>
      </c>
      <c r="X45" s="19">
        <v>1</v>
      </c>
      <c r="Y45" s="19">
        <v>0</v>
      </c>
      <c r="Z45" s="19">
        <v>0</v>
      </c>
    </row>
    <row r="46" spans="1:26">
      <c r="A46" s="2">
        <v>45658</v>
      </c>
      <c r="B46" t="s">
        <v>27</v>
      </c>
      <c r="C46" t="s">
        <v>16</v>
      </c>
      <c r="D46" s="5">
        <v>138855.51</v>
      </c>
      <c r="E46">
        <v>5145</v>
      </c>
      <c r="F46">
        <v>0.06</v>
      </c>
      <c r="G46">
        <v>17</v>
      </c>
      <c r="H46">
        <v>88.2</v>
      </c>
      <c r="I46">
        <v>9.58</v>
      </c>
      <c r="J46">
        <v>0</v>
      </c>
      <c r="K46">
        <v>3.2</v>
      </c>
      <c r="L46" s="5">
        <v>595467.6</v>
      </c>
      <c r="M46">
        <v>104276.46</v>
      </c>
      <c r="N46">
        <f t="shared" si="0"/>
        <v>0</v>
      </c>
      <c r="O46">
        <f t="shared" si="3"/>
        <v>0</v>
      </c>
      <c r="P46">
        <f t="shared" si="4"/>
        <v>0</v>
      </c>
      <c r="T46" s="18">
        <v>595467.6</v>
      </c>
      <c r="U46" s="18">
        <v>138855.51</v>
      </c>
      <c r="V46" s="19">
        <v>5145</v>
      </c>
      <c r="W46" s="19">
        <v>0.06</v>
      </c>
      <c r="X46" s="19">
        <v>0</v>
      </c>
      <c r="Y46" s="19">
        <v>0</v>
      </c>
      <c r="Z46" s="19">
        <v>0</v>
      </c>
    </row>
    <row r="47" spans="1:26">
      <c r="A47" s="2">
        <v>45689</v>
      </c>
      <c r="B47" t="s">
        <v>27</v>
      </c>
      <c r="C47" t="s">
        <v>16</v>
      </c>
      <c r="D47" s="5">
        <v>63630.21</v>
      </c>
      <c r="E47">
        <v>4460</v>
      </c>
      <c r="F47">
        <v>0.23499999999999999</v>
      </c>
      <c r="G47">
        <v>14</v>
      </c>
      <c r="H47">
        <v>98.6</v>
      </c>
      <c r="I47">
        <v>5.52</v>
      </c>
      <c r="J47">
        <v>0</v>
      </c>
      <c r="K47">
        <v>3.5</v>
      </c>
      <c r="L47" s="5">
        <v>599603.4</v>
      </c>
      <c r="M47">
        <v>112685.12</v>
      </c>
      <c r="N47">
        <f t="shared" si="0"/>
        <v>0</v>
      </c>
      <c r="O47">
        <f t="shared" si="3"/>
        <v>0</v>
      </c>
      <c r="P47">
        <f t="shared" si="4"/>
        <v>0</v>
      </c>
      <c r="T47" s="18">
        <v>599603.4</v>
      </c>
      <c r="U47" s="18">
        <v>63630.21</v>
      </c>
      <c r="V47" s="19">
        <v>4460</v>
      </c>
      <c r="W47" s="19">
        <v>0.23499999999999999</v>
      </c>
      <c r="X47" s="19">
        <v>0</v>
      </c>
      <c r="Y47" s="19">
        <v>0</v>
      </c>
      <c r="Z47" s="19">
        <v>0</v>
      </c>
    </row>
    <row r="48" spans="1:26">
      <c r="A48" s="2">
        <v>45717</v>
      </c>
      <c r="B48" t="s">
        <v>27</v>
      </c>
      <c r="C48" t="s">
        <v>16</v>
      </c>
      <c r="D48" s="5">
        <v>50043.65</v>
      </c>
      <c r="E48">
        <v>3804</v>
      </c>
      <c r="F48">
        <v>0.113</v>
      </c>
      <c r="G48">
        <v>11</v>
      </c>
      <c r="H48">
        <v>90.9</v>
      </c>
      <c r="I48">
        <v>2.7</v>
      </c>
      <c r="J48">
        <v>1</v>
      </c>
      <c r="K48">
        <v>3.2</v>
      </c>
      <c r="L48" s="5">
        <v>614800.09</v>
      </c>
      <c r="M48">
        <v>100044.2</v>
      </c>
      <c r="N48">
        <f t="shared" si="0"/>
        <v>0</v>
      </c>
      <c r="O48">
        <f t="shared" si="3"/>
        <v>0</v>
      </c>
      <c r="P48">
        <f t="shared" si="4"/>
        <v>0</v>
      </c>
      <c r="T48" s="18">
        <v>614800.09</v>
      </c>
      <c r="U48" s="18">
        <v>50043.65</v>
      </c>
      <c r="V48" s="19">
        <v>3804</v>
      </c>
      <c r="W48" s="19">
        <v>0.113</v>
      </c>
      <c r="X48" s="19">
        <v>0</v>
      </c>
      <c r="Y48" s="19">
        <v>0</v>
      </c>
      <c r="Z48" s="19">
        <v>0</v>
      </c>
    </row>
    <row r="49" spans="1:26">
      <c r="A49" s="2">
        <v>45748</v>
      </c>
      <c r="B49" t="s">
        <v>27</v>
      </c>
      <c r="C49" t="s">
        <v>16</v>
      </c>
      <c r="D49" s="5">
        <v>42093.84</v>
      </c>
      <c r="E49">
        <v>4074</v>
      </c>
      <c r="F49">
        <v>0.155</v>
      </c>
      <c r="G49">
        <v>15</v>
      </c>
      <c r="H49">
        <v>88</v>
      </c>
      <c r="I49">
        <v>9.64</v>
      </c>
      <c r="J49">
        <v>0</v>
      </c>
      <c r="K49">
        <v>3.3</v>
      </c>
      <c r="L49" s="5">
        <v>585365.73</v>
      </c>
      <c r="M49">
        <v>81011.520000000004</v>
      </c>
      <c r="N49">
        <f t="shared" si="0"/>
        <v>0</v>
      </c>
      <c r="O49">
        <f t="shared" si="3"/>
        <v>0</v>
      </c>
      <c r="P49">
        <f t="shared" si="4"/>
        <v>0</v>
      </c>
      <c r="T49" s="18">
        <v>585365.73</v>
      </c>
      <c r="U49" s="18">
        <v>42093.84</v>
      </c>
      <c r="V49" s="19">
        <v>4074</v>
      </c>
      <c r="W49" s="19">
        <v>0.155</v>
      </c>
      <c r="X49" s="19">
        <v>0</v>
      </c>
      <c r="Y49" s="19">
        <v>0</v>
      </c>
      <c r="Z49" s="19">
        <v>0</v>
      </c>
    </row>
    <row r="50" spans="1:26">
      <c r="A50" s="2">
        <v>45658</v>
      </c>
      <c r="B50" t="s">
        <v>20</v>
      </c>
      <c r="C50" t="s">
        <v>28</v>
      </c>
      <c r="D50" s="5">
        <v>46624.05</v>
      </c>
      <c r="E50">
        <v>5104</v>
      </c>
      <c r="F50">
        <v>0.109</v>
      </c>
      <c r="G50">
        <v>11</v>
      </c>
      <c r="H50">
        <v>97.3</v>
      </c>
      <c r="I50">
        <v>3.49</v>
      </c>
      <c r="J50">
        <v>1</v>
      </c>
      <c r="K50">
        <v>4.7</v>
      </c>
      <c r="L50" s="5">
        <v>622811.74</v>
      </c>
      <c r="M50">
        <v>109978.35</v>
      </c>
      <c r="N50">
        <f t="shared" si="0"/>
        <v>1</v>
      </c>
      <c r="O50">
        <f t="shared" si="3"/>
        <v>0</v>
      </c>
      <c r="P50">
        <f t="shared" si="4"/>
        <v>0</v>
      </c>
      <c r="T50" s="18">
        <v>622811.74</v>
      </c>
      <c r="U50" s="18">
        <v>46624.05</v>
      </c>
      <c r="V50" s="19">
        <v>5104</v>
      </c>
      <c r="W50" s="19">
        <v>0.109</v>
      </c>
      <c r="X50" s="19">
        <v>1</v>
      </c>
      <c r="Y50" s="19">
        <v>0</v>
      </c>
      <c r="Z50" s="19">
        <v>0</v>
      </c>
    </row>
    <row r="51" spans="1:26">
      <c r="A51" s="2">
        <v>45689</v>
      </c>
      <c r="B51" t="s">
        <v>20</v>
      </c>
      <c r="C51" t="s">
        <v>28</v>
      </c>
      <c r="D51" s="5">
        <v>49710.29</v>
      </c>
      <c r="E51">
        <v>5559</v>
      </c>
      <c r="F51">
        <v>0.218</v>
      </c>
      <c r="G51">
        <v>14</v>
      </c>
      <c r="H51">
        <v>71</v>
      </c>
      <c r="I51">
        <v>9.11</v>
      </c>
      <c r="J51">
        <v>0</v>
      </c>
      <c r="K51">
        <v>4.5999999999999996</v>
      </c>
      <c r="L51" s="5">
        <v>603297.56999999995</v>
      </c>
      <c r="M51">
        <v>60592.26</v>
      </c>
      <c r="N51">
        <f t="shared" si="0"/>
        <v>1</v>
      </c>
      <c r="O51">
        <f t="shared" si="3"/>
        <v>0</v>
      </c>
      <c r="P51">
        <f t="shared" si="4"/>
        <v>0</v>
      </c>
      <c r="T51" s="18">
        <v>603297.56999999995</v>
      </c>
      <c r="U51" s="18">
        <v>49710.29</v>
      </c>
      <c r="V51" s="19">
        <v>5559</v>
      </c>
      <c r="W51" s="19">
        <v>0.218</v>
      </c>
      <c r="X51" s="19">
        <v>1</v>
      </c>
      <c r="Y51" s="19">
        <v>0</v>
      </c>
      <c r="Z51" s="19">
        <v>0</v>
      </c>
    </row>
    <row r="52" spans="1:26">
      <c r="A52" s="2">
        <v>45717</v>
      </c>
      <c r="B52" t="s">
        <v>20</v>
      </c>
      <c r="C52" t="s">
        <v>28</v>
      </c>
      <c r="D52" s="5">
        <v>48287.85</v>
      </c>
      <c r="E52">
        <v>5150</v>
      </c>
      <c r="F52">
        <v>8.0000000000000002E-3</v>
      </c>
      <c r="G52">
        <v>12</v>
      </c>
      <c r="H52">
        <v>80.400000000000006</v>
      </c>
      <c r="I52">
        <v>7.4</v>
      </c>
      <c r="J52">
        <v>0</v>
      </c>
      <c r="K52">
        <v>4.5</v>
      </c>
      <c r="L52" s="5">
        <v>625672.86</v>
      </c>
      <c r="M52">
        <v>118020.12</v>
      </c>
      <c r="N52">
        <f t="shared" si="0"/>
        <v>1</v>
      </c>
      <c r="O52">
        <f t="shared" si="3"/>
        <v>0</v>
      </c>
      <c r="P52">
        <f t="shared" si="4"/>
        <v>0</v>
      </c>
      <c r="T52" s="18">
        <v>625672.86</v>
      </c>
      <c r="U52" s="18">
        <v>48287.85</v>
      </c>
      <c r="V52" s="19">
        <v>5150</v>
      </c>
      <c r="W52" s="19">
        <v>8.0000000000000002E-3</v>
      </c>
      <c r="X52" s="19">
        <v>1</v>
      </c>
      <c r="Y52" s="19">
        <v>0</v>
      </c>
      <c r="Z52" s="19">
        <v>0</v>
      </c>
    </row>
    <row r="53" spans="1:26">
      <c r="A53" s="2">
        <v>45748</v>
      </c>
      <c r="B53" t="s">
        <v>20</v>
      </c>
      <c r="C53" t="s">
        <v>28</v>
      </c>
      <c r="D53" s="5">
        <v>65312.49</v>
      </c>
      <c r="E53">
        <v>7189</v>
      </c>
      <c r="F53">
        <v>0.05</v>
      </c>
      <c r="G53">
        <v>19</v>
      </c>
      <c r="H53">
        <v>93.7</v>
      </c>
      <c r="I53">
        <v>7.16</v>
      </c>
      <c r="J53">
        <v>0</v>
      </c>
      <c r="K53">
        <v>4.5999999999999996</v>
      </c>
      <c r="L53" s="5">
        <v>773815.14</v>
      </c>
      <c r="M53">
        <v>133948.39000000001</v>
      </c>
      <c r="N53">
        <f t="shared" si="0"/>
        <v>1</v>
      </c>
      <c r="O53">
        <f t="shared" si="3"/>
        <v>0</v>
      </c>
      <c r="P53">
        <f t="shared" si="4"/>
        <v>0</v>
      </c>
      <c r="T53" s="18">
        <v>773815.14</v>
      </c>
      <c r="U53" s="18">
        <v>65312.49</v>
      </c>
      <c r="V53" s="19">
        <v>7189</v>
      </c>
      <c r="W53" s="19">
        <v>0.05</v>
      </c>
      <c r="X53" s="19">
        <v>1</v>
      </c>
      <c r="Y53" s="19">
        <v>0</v>
      </c>
      <c r="Z53" s="19">
        <v>0</v>
      </c>
    </row>
    <row r="54" spans="1:26">
      <c r="A54" s="2">
        <v>45658</v>
      </c>
      <c r="B54" t="s">
        <v>27</v>
      </c>
      <c r="C54" t="s">
        <v>18</v>
      </c>
      <c r="D54" s="5">
        <v>53015.46</v>
      </c>
      <c r="E54">
        <v>3279</v>
      </c>
      <c r="F54">
        <v>8.6999999999999994E-2</v>
      </c>
      <c r="G54">
        <v>9</v>
      </c>
      <c r="H54">
        <v>84.3</v>
      </c>
      <c r="I54">
        <v>22.02</v>
      </c>
      <c r="J54">
        <v>0</v>
      </c>
      <c r="K54">
        <v>3.9</v>
      </c>
      <c r="L54" s="5">
        <v>463534.25</v>
      </c>
      <c r="M54">
        <v>81834.539999999994</v>
      </c>
      <c r="N54">
        <f t="shared" si="0"/>
        <v>0</v>
      </c>
      <c r="O54">
        <f t="shared" si="3"/>
        <v>1</v>
      </c>
      <c r="P54">
        <f t="shared" si="4"/>
        <v>0</v>
      </c>
      <c r="T54" s="18">
        <v>463534.25</v>
      </c>
      <c r="U54" s="18">
        <v>53015.46</v>
      </c>
      <c r="V54" s="19">
        <v>3279</v>
      </c>
      <c r="W54" s="19">
        <v>8.6999999999999994E-2</v>
      </c>
      <c r="X54" s="19">
        <v>0</v>
      </c>
      <c r="Y54" s="19">
        <v>1</v>
      </c>
      <c r="Z54" s="19">
        <v>0</v>
      </c>
    </row>
    <row r="55" spans="1:26">
      <c r="A55" s="2">
        <v>45689</v>
      </c>
      <c r="B55" t="s">
        <v>27</v>
      </c>
      <c r="C55" t="s">
        <v>18</v>
      </c>
      <c r="D55" s="5">
        <v>99874.01</v>
      </c>
      <c r="E55">
        <v>5887</v>
      </c>
      <c r="F55">
        <v>0.26200000000000001</v>
      </c>
      <c r="G55">
        <v>14</v>
      </c>
      <c r="H55">
        <v>88.7</v>
      </c>
      <c r="I55">
        <v>6.18</v>
      </c>
      <c r="J55">
        <v>0</v>
      </c>
      <c r="K55">
        <v>4.7</v>
      </c>
      <c r="L55" s="5">
        <v>746677.75</v>
      </c>
      <c r="M55">
        <v>122437.84</v>
      </c>
      <c r="N55">
        <f t="shared" si="0"/>
        <v>0</v>
      </c>
      <c r="O55">
        <f t="shared" si="3"/>
        <v>1</v>
      </c>
      <c r="P55">
        <f t="shared" si="4"/>
        <v>0</v>
      </c>
      <c r="T55" s="18">
        <v>746677.75</v>
      </c>
      <c r="U55" s="18">
        <v>99874.01</v>
      </c>
      <c r="V55" s="19">
        <v>5887</v>
      </c>
      <c r="W55" s="19">
        <v>0.26200000000000001</v>
      </c>
      <c r="X55" s="19">
        <v>0</v>
      </c>
      <c r="Y55" s="19">
        <v>1</v>
      </c>
      <c r="Z55" s="19">
        <v>0</v>
      </c>
    </row>
    <row r="56" spans="1:26">
      <c r="A56" s="2">
        <v>45717</v>
      </c>
      <c r="B56" t="s">
        <v>27</v>
      </c>
      <c r="C56" t="s">
        <v>18</v>
      </c>
      <c r="D56" s="5">
        <v>81195.5</v>
      </c>
      <c r="E56">
        <v>5516</v>
      </c>
      <c r="F56">
        <v>0.106</v>
      </c>
      <c r="G56">
        <v>14</v>
      </c>
      <c r="H56">
        <v>88</v>
      </c>
      <c r="I56">
        <v>1.76</v>
      </c>
      <c r="J56">
        <v>0</v>
      </c>
      <c r="K56">
        <v>4.3</v>
      </c>
      <c r="L56" s="5">
        <v>720852.5</v>
      </c>
      <c r="M56">
        <v>98565.62</v>
      </c>
      <c r="N56">
        <f t="shared" si="0"/>
        <v>0</v>
      </c>
      <c r="O56">
        <f t="shared" si="3"/>
        <v>1</v>
      </c>
      <c r="P56">
        <f t="shared" si="4"/>
        <v>0</v>
      </c>
      <c r="T56" s="18">
        <v>720852.5</v>
      </c>
      <c r="U56" s="18">
        <v>81195.5</v>
      </c>
      <c r="V56" s="19">
        <v>5516</v>
      </c>
      <c r="W56" s="19">
        <v>0.106</v>
      </c>
      <c r="X56" s="19">
        <v>0</v>
      </c>
      <c r="Y56" s="19">
        <v>1</v>
      </c>
      <c r="Z56" s="19">
        <v>0</v>
      </c>
    </row>
    <row r="57" spans="1:26">
      <c r="A57" s="2">
        <v>45748</v>
      </c>
      <c r="B57" t="s">
        <v>27</v>
      </c>
      <c r="C57" t="s">
        <v>18</v>
      </c>
      <c r="D57" s="5">
        <v>27808.6</v>
      </c>
      <c r="E57">
        <v>2863</v>
      </c>
      <c r="F57">
        <v>0.08</v>
      </c>
      <c r="G57">
        <v>13</v>
      </c>
      <c r="H57">
        <v>89.3</v>
      </c>
      <c r="I57">
        <v>0.47</v>
      </c>
      <c r="J57">
        <v>0</v>
      </c>
      <c r="K57">
        <v>4.0999999999999996</v>
      </c>
      <c r="L57" s="5">
        <v>487464.91</v>
      </c>
      <c r="M57">
        <v>64562.26</v>
      </c>
      <c r="N57">
        <f t="shared" si="0"/>
        <v>0</v>
      </c>
      <c r="O57">
        <f t="shared" si="3"/>
        <v>1</v>
      </c>
      <c r="P57">
        <f t="shared" si="4"/>
        <v>0</v>
      </c>
      <c r="T57" s="18">
        <v>487464.91</v>
      </c>
      <c r="U57" s="18">
        <v>27808.6</v>
      </c>
      <c r="V57" s="19">
        <v>2863</v>
      </c>
      <c r="W57" s="19">
        <v>0.08</v>
      </c>
      <c r="X57" s="19">
        <v>0</v>
      </c>
      <c r="Y57" s="19">
        <v>1</v>
      </c>
      <c r="Z57" s="19">
        <v>0</v>
      </c>
    </row>
    <row r="58" spans="1:26">
      <c r="A58" s="2">
        <v>45658</v>
      </c>
      <c r="B58" t="s">
        <v>15</v>
      </c>
      <c r="C58" t="s">
        <v>21</v>
      </c>
      <c r="D58" s="5">
        <v>19365.060000000001</v>
      </c>
      <c r="E58">
        <v>2378</v>
      </c>
      <c r="F58">
        <v>0</v>
      </c>
      <c r="G58">
        <v>12</v>
      </c>
      <c r="H58">
        <v>94.8</v>
      </c>
      <c r="I58">
        <v>0.2</v>
      </c>
      <c r="J58">
        <v>0</v>
      </c>
      <c r="K58">
        <v>3.5</v>
      </c>
      <c r="L58" s="5">
        <v>518049.26</v>
      </c>
      <c r="M58">
        <v>108592.49</v>
      </c>
      <c r="N58">
        <f t="shared" si="0"/>
        <v>0</v>
      </c>
      <c r="O58">
        <f t="shared" si="3"/>
        <v>0</v>
      </c>
      <c r="P58">
        <f t="shared" si="4"/>
        <v>1</v>
      </c>
      <c r="T58" s="18">
        <v>518049.26</v>
      </c>
      <c r="U58" s="18">
        <v>19365.060000000001</v>
      </c>
      <c r="V58" s="19">
        <v>2378</v>
      </c>
      <c r="W58" s="19">
        <v>0</v>
      </c>
      <c r="X58" s="19">
        <v>0</v>
      </c>
      <c r="Y58" s="19">
        <v>0</v>
      </c>
      <c r="Z58" s="19">
        <v>1</v>
      </c>
    </row>
    <row r="59" spans="1:26">
      <c r="A59" s="2">
        <v>45689</v>
      </c>
      <c r="B59" t="s">
        <v>15</v>
      </c>
      <c r="C59" t="s">
        <v>21</v>
      </c>
      <c r="D59" s="5">
        <v>59405.68</v>
      </c>
      <c r="E59">
        <v>2515</v>
      </c>
      <c r="F59">
        <v>3.9E-2</v>
      </c>
      <c r="G59">
        <v>12</v>
      </c>
      <c r="H59">
        <v>76</v>
      </c>
      <c r="I59">
        <v>5.1100000000000003</v>
      </c>
      <c r="J59">
        <v>0</v>
      </c>
      <c r="K59">
        <v>3.7</v>
      </c>
      <c r="L59" s="5">
        <v>500298.48</v>
      </c>
      <c r="M59">
        <v>73461.320000000007</v>
      </c>
      <c r="N59">
        <f t="shared" si="0"/>
        <v>0</v>
      </c>
      <c r="O59">
        <f t="shared" si="3"/>
        <v>0</v>
      </c>
      <c r="P59">
        <f t="shared" si="4"/>
        <v>1</v>
      </c>
      <c r="T59" s="18">
        <v>500298.48</v>
      </c>
      <c r="U59" s="18">
        <v>59405.68</v>
      </c>
      <c r="V59" s="19">
        <v>2515</v>
      </c>
      <c r="W59" s="19">
        <v>3.9E-2</v>
      </c>
      <c r="X59" s="19">
        <v>0</v>
      </c>
      <c r="Y59" s="19">
        <v>0</v>
      </c>
      <c r="Z59" s="19">
        <v>1</v>
      </c>
    </row>
    <row r="60" spans="1:26">
      <c r="A60" s="2">
        <v>45717</v>
      </c>
      <c r="B60" t="s">
        <v>15</v>
      </c>
      <c r="C60" t="s">
        <v>21</v>
      </c>
      <c r="D60" s="5">
        <v>118910.48</v>
      </c>
      <c r="E60">
        <v>4022</v>
      </c>
      <c r="F60">
        <v>0.13700000000000001</v>
      </c>
      <c r="G60">
        <v>11</v>
      </c>
      <c r="H60">
        <v>87.1</v>
      </c>
      <c r="I60">
        <v>0.2</v>
      </c>
      <c r="J60">
        <v>0</v>
      </c>
      <c r="K60">
        <v>3.1</v>
      </c>
      <c r="L60" s="5">
        <v>617291.15</v>
      </c>
      <c r="M60">
        <v>117782</v>
      </c>
      <c r="N60">
        <f t="shared" si="0"/>
        <v>0</v>
      </c>
      <c r="O60">
        <f t="shared" si="3"/>
        <v>0</v>
      </c>
      <c r="P60">
        <f t="shared" si="4"/>
        <v>1</v>
      </c>
      <c r="T60" s="18">
        <v>617291.15</v>
      </c>
      <c r="U60" s="18">
        <v>118910.48</v>
      </c>
      <c r="V60" s="19">
        <v>4022</v>
      </c>
      <c r="W60" s="19">
        <v>0.13700000000000001</v>
      </c>
      <c r="X60" s="19">
        <v>0</v>
      </c>
      <c r="Y60" s="19">
        <v>0</v>
      </c>
      <c r="Z60" s="19">
        <v>1</v>
      </c>
    </row>
    <row r="61" spans="1:26">
      <c r="A61" s="2">
        <v>45748</v>
      </c>
      <c r="B61" t="s">
        <v>15</v>
      </c>
      <c r="C61" t="s">
        <v>21</v>
      </c>
      <c r="D61" s="5">
        <v>52952.12</v>
      </c>
      <c r="E61">
        <v>4377</v>
      </c>
      <c r="F61">
        <v>9.1999999999999998E-2</v>
      </c>
      <c r="G61">
        <v>14</v>
      </c>
      <c r="H61">
        <v>88.6</v>
      </c>
      <c r="I61">
        <v>13.59</v>
      </c>
      <c r="J61">
        <v>0</v>
      </c>
      <c r="K61">
        <v>3.1</v>
      </c>
      <c r="L61" s="5">
        <v>553756.43000000005</v>
      </c>
      <c r="M61">
        <v>86166.77</v>
      </c>
      <c r="N61">
        <f t="shared" si="0"/>
        <v>0</v>
      </c>
      <c r="O61">
        <f t="shared" si="3"/>
        <v>0</v>
      </c>
      <c r="P61">
        <f t="shared" si="4"/>
        <v>1</v>
      </c>
      <c r="T61" s="18">
        <v>553756.43000000005</v>
      </c>
      <c r="U61" s="18">
        <v>52952.12</v>
      </c>
      <c r="V61" s="19">
        <v>4377</v>
      </c>
      <c r="W61" s="19">
        <v>9.1999999999999998E-2</v>
      </c>
      <c r="X61" s="19">
        <v>0</v>
      </c>
      <c r="Y61" s="19">
        <v>0</v>
      </c>
      <c r="Z61" s="19">
        <v>1</v>
      </c>
    </row>
    <row r="62" spans="1:26">
      <c r="A62" s="2">
        <v>45658</v>
      </c>
      <c r="B62" t="s">
        <v>24</v>
      </c>
      <c r="C62" t="s">
        <v>18</v>
      </c>
      <c r="D62" s="5">
        <v>74907.98</v>
      </c>
      <c r="E62">
        <v>5306</v>
      </c>
      <c r="F62">
        <v>6.2E-2</v>
      </c>
      <c r="G62">
        <v>16</v>
      </c>
      <c r="H62">
        <v>95.6</v>
      </c>
      <c r="I62">
        <v>1.02</v>
      </c>
      <c r="J62">
        <v>0</v>
      </c>
      <c r="K62">
        <v>3.7</v>
      </c>
      <c r="L62" s="5">
        <v>749559.71</v>
      </c>
      <c r="M62">
        <v>144522.53</v>
      </c>
      <c r="N62">
        <f t="shared" si="0"/>
        <v>0</v>
      </c>
      <c r="O62">
        <f t="shared" si="3"/>
        <v>1</v>
      </c>
      <c r="P62">
        <f t="shared" si="4"/>
        <v>0</v>
      </c>
      <c r="T62" s="18">
        <v>749559.71</v>
      </c>
      <c r="U62" s="18">
        <v>74907.98</v>
      </c>
      <c r="V62" s="19">
        <v>5306</v>
      </c>
      <c r="W62" s="19">
        <v>6.2E-2</v>
      </c>
      <c r="X62" s="19">
        <v>0</v>
      </c>
      <c r="Y62" s="19">
        <v>1</v>
      </c>
      <c r="Z62" s="19">
        <v>0</v>
      </c>
    </row>
    <row r="63" spans="1:26">
      <c r="A63" s="2">
        <v>45689</v>
      </c>
      <c r="B63" t="s">
        <v>24</v>
      </c>
      <c r="C63" t="s">
        <v>18</v>
      </c>
      <c r="D63" s="5">
        <v>37284.660000000003</v>
      </c>
      <c r="E63">
        <v>3928</v>
      </c>
      <c r="F63">
        <v>7.3999999999999996E-2</v>
      </c>
      <c r="G63">
        <v>12</v>
      </c>
      <c r="H63">
        <v>86.5</v>
      </c>
      <c r="I63">
        <v>1.64</v>
      </c>
      <c r="J63">
        <v>0</v>
      </c>
      <c r="K63">
        <v>3.8</v>
      </c>
      <c r="L63" s="5">
        <v>615966.48</v>
      </c>
      <c r="M63">
        <v>91509.38</v>
      </c>
      <c r="N63">
        <f t="shared" si="0"/>
        <v>0</v>
      </c>
      <c r="O63">
        <f t="shared" si="3"/>
        <v>1</v>
      </c>
      <c r="P63">
        <f t="shared" si="4"/>
        <v>0</v>
      </c>
      <c r="T63" s="18">
        <v>615966.48</v>
      </c>
      <c r="U63" s="18">
        <v>37284.660000000003</v>
      </c>
      <c r="V63" s="19">
        <v>3928</v>
      </c>
      <c r="W63" s="19">
        <v>7.3999999999999996E-2</v>
      </c>
      <c r="X63" s="19">
        <v>0</v>
      </c>
      <c r="Y63" s="19">
        <v>1</v>
      </c>
      <c r="Z63" s="19">
        <v>0</v>
      </c>
    </row>
    <row r="64" spans="1:26">
      <c r="A64" s="2">
        <v>45717</v>
      </c>
      <c r="B64" t="s">
        <v>24</v>
      </c>
      <c r="C64" t="s">
        <v>18</v>
      </c>
      <c r="D64" s="5">
        <v>50343.19</v>
      </c>
      <c r="E64">
        <v>3845</v>
      </c>
      <c r="F64">
        <v>0.113</v>
      </c>
      <c r="G64">
        <v>9</v>
      </c>
      <c r="H64">
        <v>88.7</v>
      </c>
      <c r="I64">
        <v>5.15</v>
      </c>
      <c r="J64">
        <v>0</v>
      </c>
      <c r="K64">
        <v>3.3</v>
      </c>
      <c r="L64" s="5">
        <v>572011.19999999995</v>
      </c>
      <c r="M64">
        <v>101409.68</v>
      </c>
      <c r="N64">
        <f t="shared" si="0"/>
        <v>0</v>
      </c>
      <c r="O64">
        <f t="shared" si="3"/>
        <v>1</v>
      </c>
      <c r="P64">
        <f t="shared" si="4"/>
        <v>0</v>
      </c>
      <c r="T64" s="18">
        <v>572011.19999999995</v>
      </c>
      <c r="U64" s="18">
        <v>50343.19</v>
      </c>
      <c r="V64" s="19">
        <v>3845</v>
      </c>
      <c r="W64" s="19">
        <v>0.113</v>
      </c>
      <c r="X64" s="19">
        <v>0</v>
      </c>
      <c r="Y64" s="19">
        <v>1</v>
      </c>
      <c r="Z64" s="19">
        <v>0</v>
      </c>
    </row>
    <row r="65" spans="1:26">
      <c r="A65" s="2">
        <v>45748</v>
      </c>
      <c r="B65" t="s">
        <v>24</v>
      </c>
      <c r="C65" t="s">
        <v>18</v>
      </c>
      <c r="D65" s="5">
        <v>74954.47</v>
      </c>
      <c r="E65">
        <v>6620</v>
      </c>
      <c r="F65">
        <v>5.3999999999999999E-2</v>
      </c>
      <c r="G65">
        <v>17</v>
      </c>
      <c r="H65">
        <v>91.1</v>
      </c>
      <c r="I65">
        <v>1.1100000000000001</v>
      </c>
      <c r="J65">
        <v>0</v>
      </c>
      <c r="K65">
        <v>3.5</v>
      </c>
      <c r="L65" s="5">
        <v>761860.19</v>
      </c>
      <c r="M65">
        <v>133279.38</v>
      </c>
      <c r="N65">
        <f t="shared" si="0"/>
        <v>0</v>
      </c>
      <c r="O65">
        <f t="shared" si="3"/>
        <v>1</v>
      </c>
      <c r="P65">
        <f t="shared" si="4"/>
        <v>0</v>
      </c>
      <c r="T65" s="18">
        <v>761860.19</v>
      </c>
      <c r="U65" s="18">
        <v>74954.47</v>
      </c>
      <c r="V65" s="19">
        <v>6620</v>
      </c>
      <c r="W65" s="19">
        <v>5.3999999999999999E-2</v>
      </c>
      <c r="X65" s="19">
        <v>0</v>
      </c>
      <c r="Y65" s="19">
        <v>1</v>
      </c>
      <c r="Z65" s="19">
        <v>0</v>
      </c>
    </row>
    <row r="66" spans="1:26">
      <c r="A66" s="2">
        <v>45658</v>
      </c>
      <c r="B66" t="s">
        <v>27</v>
      </c>
      <c r="C66" t="s">
        <v>18</v>
      </c>
      <c r="D66" s="5">
        <v>70040.31</v>
      </c>
      <c r="E66">
        <v>9175</v>
      </c>
      <c r="F66">
        <v>0.107</v>
      </c>
      <c r="G66">
        <v>23</v>
      </c>
      <c r="H66">
        <v>95.1</v>
      </c>
      <c r="I66">
        <v>6.08</v>
      </c>
      <c r="J66">
        <v>1</v>
      </c>
      <c r="K66">
        <v>3.4</v>
      </c>
      <c r="L66" s="5">
        <v>784502.68</v>
      </c>
      <c r="M66">
        <v>129519.72</v>
      </c>
      <c r="N66">
        <f t="shared" si="0"/>
        <v>0</v>
      </c>
      <c r="O66">
        <f t="shared" si="3"/>
        <v>1</v>
      </c>
      <c r="P66">
        <f t="shared" si="4"/>
        <v>0</v>
      </c>
      <c r="T66" s="18">
        <v>784502.68</v>
      </c>
      <c r="U66" s="18">
        <v>70040.31</v>
      </c>
      <c r="V66" s="19">
        <v>9175</v>
      </c>
      <c r="W66" s="19">
        <v>0.107</v>
      </c>
      <c r="X66" s="19">
        <v>0</v>
      </c>
      <c r="Y66" s="19">
        <v>1</v>
      </c>
      <c r="Z66" s="19">
        <v>0</v>
      </c>
    </row>
    <row r="67" spans="1:26">
      <c r="A67" s="2">
        <v>45689</v>
      </c>
      <c r="B67" t="s">
        <v>27</v>
      </c>
      <c r="C67" t="s">
        <v>18</v>
      </c>
      <c r="D67" s="5">
        <v>51148.69</v>
      </c>
      <c r="E67">
        <v>7940</v>
      </c>
      <c r="F67">
        <v>0.156</v>
      </c>
      <c r="G67">
        <v>18</v>
      </c>
      <c r="H67">
        <v>93.3</v>
      </c>
      <c r="I67">
        <v>10.91</v>
      </c>
      <c r="J67">
        <v>0</v>
      </c>
      <c r="K67">
        <v>3.6</v>
      </c>
      <c r="L67" s="5">
        <v>717141.55</v>
      </c>
      <c r="M67">
        <v>134013.60999999999</v>
      </c>
      <c r="N67">
        <f t="shared" ref="N67:N130" si="5">IF(C67="Mall", 1, 0)</f>
        <v>0</v>
      </c>
      <c r="O67">
        <f t="shared" si="3"/>
        <v>1</v>
      </c>
      <c r="P67">
        <f t="shared" si="4"/>
        <v>0</v>
      </c>
      <c r="T67" s="18">
        <v>717141.55</v>
      </c>
      <c r="U67" s="18">
        <v>51148.69</v>
      </c>
      <c r="V67" s="19">
        <v>7940</v>
      </c>
      <c r="W67" s="19">
        <v>0.156</v>
      </c>
      <c r="X67" s="19">
        <v>0</v>
      </c>
      <c r="Y67" s="19">
        <v>1</v>
      </c>
      <c r="Z67" s="19">
        <v>0</v>
      </c>
    </row>
    <row r="68" spans="1:26">
      <c r="A68" s="2">
        <v>45717</v>
      </c>
      <c r="B68" t="s">
        <v>27</v>
      </c>
      <c r="C68" t="s">
        <v>18</v>
      </c>
      <c r="D68" s="5">
        <v>79346.100000000006</v>
      </c>
      <c r="E68">
        <v>9628</v>
      </c>
      <c r="F68">
        <v>0.10199999999999999</v>
      </c>
      <c r="G68">
        <v>20</v>
      </c>
      <c r="H68">
        <v>99</v>
      </c>
      <c r="I68">
        <v>19.010000000000002</v>
      </c>
      <c r="J68">
        <v>1</v>
      </c>
      <c r="K68">
        <v>3.2</v>
      </c>
      <c r="L68" s="5">
        <v>685379.08</v>
      </c>
      <c r="M68">
        <v>106898.82</v>
      </c>
      <c r="N68">
        <f t="shared" si="5"/>
        <v>0</v>
      </c>
      <c r="O68">
        <f t="shared" si="3"/>
        <v>1</v>
      </c>
      <c r="P68">
        <f t="shared" si="4"/>
        <v>0</v>
      </c>
      <c r="T68" s="18">
        <v>685379.08</v>
      </c>
      <c r="U68" s="18">
        <v>79346.100000000006</v>
      </c>
      <c r="V68" s="19">
        <v>9628</v>
      </c>
      <c r="W68" s="19">
        <v>0.10199999999999999</v>
      </c>
      <c r="X68" s="19">
        <v>0</v>
      </c>
      <c r="Y68" s="19">
        <v>1</v>
      </c>
      <c r="Z68" s="19">
        <v>0</v>
      </c>
    </row>
    <row r="69" spans="1:26">
      <c r="A69" s="2">
        <v>45748</v>
      </c>
      <c r="B69" t="s">
        <v>27</v>
      </c>
      <c r="C69" t="s">
        <v>18</v>
      </c>
      <c r="D69" s="5">
        <v>42018.400000000001</v>
      </c>
      <c r="E69">
        <v>8296</v>
      </c>
      <c r="F69">
        <v>0.115</v>
      </c>
      <c r="G69">
        <v>17</v>
      </c>
      <c r="H69">
        <v>91.8</v>
      </c>
      <c r="I69">
        <v>0.77</v>
      </c>
      <c r="J69">
        <v>0</v>
      </c>
      <c r="K69">
        <v>3.4</v>
      </c>
      <c r="L69" s="5">
        <v>740496.65</v>
      </c>
      <c r="M69">
        <v>128020.9</v>
      </c>
      <c r="N69">
        <f t="shared" si="5"/>
        <v>0</v>
      </c>
      <c r="O69">
        <f t="shared" si="3"/>
        <v>1</v>
      </c>
      <c r="P69">
        <f t="shared" si="4"/>
        <v>0</v>
      </c>
      <c r="T69" s="18">
        <v>740496.65</v>
      </c>
      <c r="U69" s="18">
        <v>42018.400000000001</v>
      </c>
      <c r="V69" s="19">
        <v>8296</v>
      </c>
      <c r="W69" s="19">
        <v>0.115</v>
      </c>
      <c r="X69" s="19">
        <v>0</v>
      </c>
      <c r="Y69" s="19">
        <v>1</v>
      </c>
      <c r="Z69" s="19">
        <v>0</v>
      </c>
    </row>
    <row r="70" spans="1:26">
      <c r="A70" s="2">
        <v>45658</v>
      </c>
      <c r="B70" t="s">
        <v>15</v>
      </c>
      <c r="C70" t="s">
        <v>18</v>
      </c>
      <c r="D70" s="5">
        <v>70937.240000000005</v>
      </c>
      <c r="E70">
        <v>3595</v>
      </c>
      <c r="F70">
        <v>0.14099999999999999</v>
      </c>
      <c r="G70">
        <v>11</v>
      </c>
      <c r="H70">
        <v>88.9</v>
      </c>
      <c r="I70">
        <v>2.83</v>
      </c>
      <c r="J70">
        <v>1</v>
      </c>
      <c r="K70">
        <v>3.3</v>
      </c>
      <c r="L70" s="5">
        <v>661927.14</v>
      </c>
      <c r="M70">
        <v>79218.570000000007</v>
      </c>
      <c r="N70">
        <f t="shared" si="5"/>
        <v>0</v>
      </c>
      <c r="O70">
        <f t="shared" si="3"/>
        <v>1</v>
      </c>
      <c r="P70">
        <f t="shared" si="4"/>
        <v>0</v>
      </c>
      <c r="T70" s="18">
        <v>661927.14</v>
      </c>
      <c r="U70" s="18">
        <v>70937.240000000005</v>
      </c>
      <c r="V70" s="19">
        <v>3595</v>
      </c>
      <c r="W70" s="19">
        <v>0.14099999999999999</v>
      </c>
      <c r="X70" s="19">
        <v>0</v>
      </c>
      <c r="Y70" s="19">
        <v>1</v>
      </c>
      <c r="Z70" s="19">
        <v>0</v>
      </c>
    </row>
    <row r="71" spans="1:26">
      <c r="A71" s="2">
        <v>45689</v>
      </c>
      <c r="B71" t="s">
        <v>15</v>
      </c>
      <c r="C71" t="s">
        <v>18</v>
      </c>
      <c r="D71" s="5">
        <v>36813.449999999997</v>
      </c>
      <c r="E71">
        <v>2834</v>
      </c>
      <c r="F71">
        <v>0.191</v>
      </c>
      <c r="G71">
        <v>11</v>
      </c>
      <c r="H71">
        <v>81.8</v>
      </c>
      <c r="I71">
        <v>2.33</v>
      </c>
      <c r="J71">
        <v>0</v>
      </c>
      <c r="K71">
        <v>3.3</v>
      </c>
      <c r="L71" s="5">
        <v>479050.5</v>
      </c>
      <c r="M71">
        <v>53651.11</v>
      </c>
      <c r="N71">
        <f t="shared" si="5"/>
        <v>0</v>
      </c>
      <c r="O71">
        <f t="shared" si="3"/>
        <v>1</v>
      </c>
      <c r="P71">
        <f t="shared" si="4"/>
        <v>0</v>
      </c>
      <c r="T71" s="18">
        <v>479050.5</v>
      </c>
      <c r="U71" s="18">
        <v>36813.449999999997</v>
      </c>
      <c r="V71" s="19">
        <v>2834</v>
      </c>
      <c r="W71" s="19">
        <v>0.191</v>
      </c>
      <c r="X71" s="19">
        <v>0</v>
      </c>
      <c r="Y71" s="19">
        <v>1</v>
      </c>
      <c r="Z71" s="19">
        <v>0</v>
      </c>
    </row>
    <row r="72" spans="1:26">
      <c r="A72" s="2">
        <v>45717</v>
      </c>
      <c r="B72" t="s">
        <v>15</v>
      </c>
      <c r="C72" t="s">
        <v>18</v>
      </c>
      <c r="D72" s="5">
        <v>60571.82</v>
      </c>
      <c r="E72">
        <v>3193</v>
      </c>
      <c r="F72">
        <v>0.19700000000000001</v>
      </c>
      <c r="G72">
        <v>7</v>
      </c>
      <c r="H72">
        <v>99</v>
      </c>
      <c r="I72">
        <v>1.43</v>
      </c>
      <c r="J72">
        <v>0</v>
      </c>
      <c r="K72">
        <v>3.2</v>
      </c>
      <c r="L72" s="5">
        <v>605023.87</v>
      </c>
      <c r="M72">
        <v>98545.81</v>
      </c>
      <c r="N72">
        <f t="shared" si="5"/>
        <v>0</v>
      </c>
      <c r="O72">
        <f t="shared" si="3"/>
        <v>1</v>
      </c>
      <c r="P72">
        <f t="shared" si="4"/>
        <v>0</v>
      </c>
      <c r="T72" s="18">
        <v>605023.87</v>
      </c>
      <c r="U72" s="18">
        <v>60571.82</v>
      </c>
      <c r="V72" s="19">
        <v>3193</v>
      </c>
      <c r="W72" s="19">
        <v>0.19700000000000001</v>
      </c>
      <c r="X72" s="19">
        <v>0</v>
      </c>
      <c r="Y72" s="19">
        <v>1</v>
      </c>
      <c r="Z72" s="19">
        <v>0</v>
      </c>
    </row>
    <row r="73" spans="1:26">
      <c r="A73" s="2">
        <v>45748</v>
      </c>
      <c r="B73" t="s">
        <v>15</v>
      </c>
      <c r="C73" t="s">
        <v>18</v>
      </c>
      <c r="D73" s="5">
        <v>55081.16</v>
      </c>
      <c r="E73">
        <v>5485</v>
      </c>
      <c r="F73">
        <v>3.5999999999999997E-2</v>
      </c>
      <c r="G73">
        <v>12</v>
      </c>
      <c r="H73">
        <v>88</v>
      </c>
      <c r="J73">
        <v>0</v>
      </c>
      <c r="K73">
        <v>3.5</v>
      </c>
      <c r="L73" s="5">
        <v>674774.09</v>
      </c>
      <c r="M73">
        <v>141917.59</v>
      </c>
      <c r="N73">
        <f t="shared" si="5"/>
        <v>0</v>
      </c>
      <c r="O73">
        <f t="shared" si="3"/>
        <v>1</v>
      </c>
      <c r="P73">
        <f t="shared" si="4"/>
        <v>0</v>
      </c>
      <c r="T73" s="18">
        <v>674774.09</v>
      </c>
      <c r="U73" s="18">
        <v>55081.16</v>
      </c>
      <c r="V73" s="19">
        <v>5485</v>
      </c>
      <c r="W73" s="19">
        <v>3.5999999999999997E-2</v>
      </c>
      <c r="X73" s="19">
        <v>0</v>
      </c>
      <c r="Y73" s="19">
        <v>1</v>
      </c>
      <c r="Z73" s="19">
        <v>0</v>
      </c>
    </row>
    <row r="74" spans="1:26">
      <c r="A74" s="2">
        <v>45658</v>
      </c>
      <c r="B74" t="s">
        <v>15</v>
      </c>
      <c r="C74" t="s">
        <v>16</v>
      </c>
      <c r="D74" s="5">
        <v>46201.46</v>
      </c>
      <c r="E74">
        <v>5918</v>
      </c>
      <c r="F74">
        <v>0.27700000000000002</v>
      </c>
      <c r="G74">
        <v>13</v>
      </c>
      <c r="H74">
        <v>78.8</v>
      </c>
      <c r="I74">
        <v>4.91</v>
      </c>
      <c r="J74">
        <v>0</v>
      </c>
      <c r="K74">
        <v>4.5</v>
      </c>
      <c r="L74" s="5">
        <v>616069.41</v>
      </c>
      <c r="M74">
        <v>54453.99</v>
      </c>
      <c r="N74">
        <f t="shared" si="5"/>
        <v>0</v>
      </c>
      <c r="O74">
        <f t="shared" si="3"/>
        <v>0</v>
      </c>
      <c r="P74">
        <f t="shared" si="4"/>
        <v>0</v>
      </c>
      <c r="T74" s="18">
        <v>616069.41</v>
      </c>
      <c r="U74" s="18">
        <v>46201.46</v>
      </c>
      <c r="V74" s="19">
        <v>5918</v>
      </c>
      <c r="W74" s="19">
        <v>0.27700000000000002</v>
      </c>
      <c r="X74" s="19">
        <v>0</v>
      </c>
      <c r="Y74" s="19">
        <v>0</v>
      </c>
      <c r="Z74" s="19">
        <v>0</v>
      </c>
    </row>
    <row r="75" spans="1:26">
      <c r="A75" s="2">
        <v>45689</v>
      </c>
      <c r="B75" t="s">
        <v>15</v>
      </c>
      <c r="C75" t="s">
        <v>16</v>
      </c>
      <c r="D75" s="5">
        <v>53762.92</v>
      </c>
      <c r="E75">
        <v>6821</v>
      </c>
      <c r="F75">
        <v>6.6000000000000003E-2</v>
      </c>
      <c r="G75">
        <v>19</v>
      </c>
      <c r="H75">
        <v>94.6</v>
      </c>
      <c r="I75">
        <v>7.03</v>
      </c>
      <c r="J75">
        <v>0</v>
      </c>
      <c r="K75">
        <v>4.4000000000000004</v>
      </c>
      <c r="L75" s="5">
        <v>630829.93999999994</v>
      </c>
      <c r="M75">
        <v>117090.02</v>
      </c>
      <c r="N75">
        <f t="shared" si="5"/>
        <v>0</v>
      </c>
      <c r="O75">
        <f t="shared" ref="O75:O138" si="6">IF(C75="High Street", 1, 0)</f>
        <v>0</v>
      </c>
      <c r="P75">
        <f t="shared" ref="P75:P138" si="7">IF(C75="airport", 1, 0)</f>
        <v>0</v>
      </c>
      <c r="T75" s="18">
        <v>630829.93999999994</v>
      </c>
      <c r="U75" s="18">
        <v>53762.92</v>
      </c>
      <c r="V75" s="19">
        <v>6821</v>
      </c>
      <c r="W75" s="19">
        <v>6.6000000000000003E-2</v>
      </c>
      <c r="X75" s="19">
        <v>0</v>
      </c>
      <c r="Y75" s="19">
        <v>0</v>
      </c>
      <c r="Z75" s="19">
        <v>0</v>
      </c>
    </row>
    <row r="76" spans="1:26">
      <c r="A76" s="2">
        <v>45717</v>
      </c>
      <c r="B76" t="s">
        <v>15</v>
      </c>
      <c r="C76" t="s">
        <v>16</v>
      </c>
      <c r="D76" s="5">
        <v>70144.78</v>
      </c>
      <c r="E76">
        <v>6806</v>
      </c>
      <c r="F76">
        <v>0.17799999999999999</v>
      </c>
      <c r="G76">
        <v>20</v>
      </c>
      <c r="H76">
        <v>93.1</v>
      </c>
      <c r="I76">
        <v>0.28000000000000003</v>
      </c>
      <c r="J76">
        <v>1</v>
      </c>
      <c r="K76">
        <v>4.3</v>
      </c>
      <c r="L76" s="5">
        <v>788087.68</v>
      </c>
      <c r="M76">
        <v>116803.42</v>
      </c>
      <c r="N76">
        <f t="shared" si="5"/>
        <v>0</v>
      </c>
      <c r="O76">
        <f t="shared" si="6"/>
        <v>0</v>
      </c>
      <c r="P76">
        <f t="shared" si="7"/>
        <v>0</v>
      </c>
      <c r="T76" s="18">
        <v>788087.68</v>
      </c>
      <c r="U76" s="18">
        <v>70144.78</v>
      </c>
      <c r="V76" s="19">
        <v>6806</v>
      </c>
      <c r="W76" s="19">
        <v>0.17799999999999999</v>
      </c>
      <c r="X76" s="19">
        <v>0</v>
      </c>
      <c r="Y76" s="19">
        <v>0</v>
      </c>
      <c r="Z76" s="19">
        <v>0</v>
      </c>
    </row>
    <row r="77" spans="1:26">
      <c r="A77" s="2">
        <v>45748</v>
      </c>
      <c r="B77" t="s">
        <v>15</v>
      </c>
      <c r="C77" t="s">
        <v>16</v>
      </c>
      <c r="D77" s="5">
        <v>58749.63</v>
      </c>
      <c r="E77">
        <v>8252</v>
      </c>
      <c r="F77">
        <v>0.20300000000000001</v>
      </c>
      <c r="G77">
        <v>20</v>
      </c>
      <c r="H77">
        <v>85.2</v>
      </c>
      <c r="I77">
        <v>3.61</v>
      </c>
      <c r="J77">
        <v>0</v>
      </c>
      <c r="K77">
        <v>4.5</v>
      </c>
      <c r="L77" s="5">
        <v>680840.36</v>
      </c>
      <c r="M77">
        <v>68007.679999999993</v>
      </c>
      <c r="N77">
        <f t="shared" si="5"/>
        <v>0</v>
      </c>
      <c r="O77">
        <f t="shared" si="6"/>
        <v>0</v>
      </c>
      <c r="P77">
        <f t="shared" si="7"/>
        <v>0</v>
      </c>
      <c r="T77" s="18">
        <v>680840.36</v>
      </c>
      <c r="U77" s="18">
        <v>58749.63</v>
      </c>
      <c r="V77" s="19">
        <v>8252</v>
      </c>
      <c r="W77" s="19">
        <v>0.20300000000000001</v>
      </c>
      <c r="X77" s="19">
        <v>0</v>
      </c>
      <c r="Y77" s="19">
        <v>0</v>
      </c>
      <c r="Z77" s="19">
        <v>0</v>
      </c>
    </row>
    <row r="78" spans="1:26">
      <c r="A78" s="2">
        <v>45658</v>
      </c>
      <c r="B78" t="s">
        <v>24</v>
      </c>
      <c r="C78" t="s">
        <v>18</v>
      </c>
      <c r="D78" s="5">
        <v>56973.18</v>
      </c>
      <c r="E78">
        <v>6662</v>
      </c>
      <c r="F78">
        <v>0.1</v>
      </c>
      <c r="G78">
        <v>15</v>
      </c>
      <c r="H78">
        <v>77.7</v>
      </c>
      <c r="I78">
        <v>7.52</v>
      </c>
      <c r="J78">
        <v>1</v>
      </c>
      <c r="K78">
        <v>3.2</v>
      </c>
      <c r="L78" s="5">
        <v>643657.47</v>
      </c>
      <c r="M78">
        <v>87022.45</v>
      </c>
      <c r="N78">
        <f t="shared" si="5"/>
        <v>0</v>
      </c>
      <c r="O78">
        <f t="shared" si="6"/>
        <v>1</v>
      </c>
      <c r="P78">
        <f t="shared" si="7"/>
        <v>0</v>
      </c>
      <c r="T78" s="18">
        <v>643657.47</v>
      </c>
      <c r="U78" s="18">
        <v>56973.18</v>
      </c>
      <c r="V78" s="19">
        <v>6662</v>
      </c>
      <c r="W78" s="19">
        <v>0.1</v>
      </c>
      <c r="X78" s="19">
        <v>0</v>
      </c>
      <c r="Y78" s="19">
        <v>1</v>
      </c>
      <c r="Z78" s="19">
        <v>0</v>
      </c>
    </row>
    <row r="79" spans="1:26">
      <c r="A79" s="2">
        <v>45689</v>
      </c>
      <c r="B79" t="s">
        <v>24</v>
      </c>
      <c r="C79" t="s">
        <v>18</v>
      </c>
      <c r="D79" s="5">
        <v>54872.82</v>
      </c>
      <c r="E79">
        <v>5962</v>
      </c>
      <c r="F79">
        <v>6.4000000000000001E-2</v>
      </c>
      <c r="G79">
        <v>12</v>
      </c>
      <c r="H79">
        <v>85.4</v>
      </c>
      <c r="I79">
        <v>2.58</v>
      </c>
      <c r="J79">
        <v>0</v>
      </c>
      <c r="K79">
        <v>2.9</v>
      </c>
      <c r="L79" s="5">
        <v>691112.6</v>
      </c>
      <c r="M79">
        <v>109212.83</v>
      </c>
      <c r="N79">
        <f t="shared" si="5"/>
        <v>0</v>
      </c>
      <c r="O79">
        <f t="shared" si="6"/>
        <v>1</v>
      </c>
      <c r="P79">
        <f t="shared" si="7"/>
        <v>0</v>
      </c>
      <c r="T79" s="18">
        <v>691112.6</v>
      </c>
      <c r="U79" s="18">
        <v>54872.82</v>
      </c>
      <c r="V79" s="19">
        <v>5962</v>
      </c>
      <c r="W79" s="19">
        <v>6.4000000000000001E-2</v>
      </c>
      <c r="X79" s="19">
        <v>0</v>
      </c>
      <c r="Y79" s="19">
        <v>1</v>
      </c>
      <c r="Z79" s="19">
        <v>0</v>
      </c>
    </row>
    <row r="80" spans="1:26">
      <c r="A80" s="2">
        <v>45717</v>
      </c>
      <c r="B80" t="s">
        <v>24</v>
      </c>
      <c r="C80" t="s">
        <v>18</v>
      </c>
      <c r="D80" s="5">
        <v>80562.81</v>
      </c>
      <c r="E80">
        <v>7470</v>
      </c>
      <c r="F80">
        <v>0.17199999999999999</v>
      </c>
      <c r="G80">
        <v>16</v>
      </c>
      <c r="H80">
        <v>83.5</v>
      </c>
      <c r="I80">
        <v>2.29</v>
      </c>
      <c r="J80">
        <v>0</v>
      </c>
      <c r="K80">
        <v>3.3</v>
      </c>
      <c r="L80" s="5">
        <v>776922.17</v>
      </c>
      <c r="M80">
        <v>150701.93</v>
      </c>
      <c r="N80">
        <f t="shared" si="5"/>
        <v>0</v>
      </c>
      <c r="O80">
        <f t="shared" si="6"/>
        <v>1</v>
      </c>
      <c r="P80">
        <f t="shared" si="7"/>
        <v>0</v>
      </c>
      <c r="T80" s="18">
        <v>776922.17</v>
      </c>
      <c r="U80" s="18">
        <v>80562.81</v>
      </c>
      <c r="V80" s="19">
        <v>7470</v>
      </c>
      <c r="W80" s="19">
        <v>0.17199999999999999</v>
      </c>
      <c r="X80" s="19">
        <v>0</v>
      </c>
      <c r="Y80" s="19">
        <v>1</v>
      </c>
      <c r="Z80" s="19">
        <v>0</v>
      </c>
    </row>
    <row r="81" spans="1:26">
      <c r="A81" s="2">
        <v>45748</v>
      </c>
      <c r="B81" t="s">
        <v>24</v>
      </c>
      <c r="C81" t="s">
        <v>18</v>
      </c>
      <c r="D81" s="5">
        <v>77999.899999999994</v>
      </c>
      <c r="E81">
        <v>5974</v>
      </c>
      <c r="F81">
        <v>0.252</v>
      </c>
      <c r="G81">
        <v>14</v>
      </c>
      <c r="H81">
        <v>81.3</v>
      </c>
      <c r="I81">
        <v>2.39</v>
      </c>
      <c r="J81">
        <v>0</v>
      </c>
      <c r="K81">
        <v>3.2</v>
      </c>
      <c r="L81" s="5">
        <v>636561.34</v>
      </c>
      <c r="M81">
        <v>93861.06</v>
      </c>
      <c r="N81">
        <f t="shared" si="5"/>
        <v>0</v>
      </c>
      <c r="O81">
        <f t="shared" si="6"/>
        <v>1</v>
      </c>
      <c r="P81">
        <f t="shared" si="7"/>
        <v>0</v>
      </c>
      <c r="T81" s="18">
        <v>636561.34</v>
      </c>
      <c r="U81" s="18">
        <v>77999.899999999994</v>
      </c>
      <c r="V81" s="19">
        <v>5974</v>
      </c>
      <c r="W81" s="19">
        <v>0.252</v>
      </c>
      <c r="X81" s="19">
        <v>0</v>
      </c>
      <c r="Y81" s="19">
        <v>1</v>
      </c>
      <c r="Z81" s="19">
        <v>0</v>
      </c>
    </row>
    <row r="82" spans="1:26">
      <c r="A82" s="2">
        <v>45658</v>
      </c>
      <c r="B82" t="s">
        <v>27</v>
      </c>
      <c r="C82" t="s">
        <v>28</v>
      </c>
      <c r="D82" s="5">
        <v>60881.01</v>
      </c>
      <c r="E82">
        <v>5410</v>
      </c>
      <c r="F82">
        <v>0.17899999999999999</v>
      </c>
      <c r="G82">
        <v>15</v>
      </c>
      <c r="H82">
        <v>83.9</v>
      </c>
      <c r="I82">
        <v>5.24</v>
      </c>
      <c r="J82">
        <v>0</v>
      </c>
      <c r="K82">
        <v>4.5999999999999996</v>
      </c>
      <c r="L82" s="5">
        <v>621369.57999999996</v>
      </c>
      <c r="M82">
        <v>85493.64</v>
      </c>
      <c r="N82">
        <f t="shared" si="5"/>
        <v>1</v>
      </c>
      <c r="O82">
        <f t="shared" si="6"/>
        <v>0</v>
      </c>
      <c r="P82">
        <f t="shared" si="7"/>
        <v>0</v>
      </c>
      <c r="T82" s="18">
        <v>621369.57999999996</v>
      </c>
      <c r="U82" s="18">
        <v>60881.01</v>
      </c>
      <c r="V82" s="19">
        <v>5410</v>
      </c>
      <c r="W82" s="19">
        <v>0.17899999999999999</v>
      </c>
      <c r="X82" s="19">
        <v>1</v>
      </c>
      <c r="Y82" s="19">
        <v>0</v>
      </c>
      <c r="Z82" s="19">
        <v>0</v>
      </c>
    </row>
    <row r="83" spans="1:26">
      <c r="A83" s="2">
        <v>45689</v>
      </c>
      <c r="B83" t="s">
        <v>27</v>
      </c>
      <c r="C83" t="s">
        <v>28</v>
      </c>
      <c r="D83" s="5">
        <v>60628.38</v>
      </c>
      <c r="E83">
        <v>4451</v>
      </c>
      <c r="F83">
        <v>9.5000000000000001E-2</v>
      </c>
      <c r="G83">
        <v>10</v>
      </c>
      <c r="H83">
        <v>89.6</v>
      </c>
      <c r="I83">
        <v>3.17</v>
      </c>
      <c r="J83">
        <v>0</v>
      </c>
      <c r="K83">
        <v>4.5999999999999996</v>
      </c>
      <c r="L83" s="5">
        <v>682208.01</v>
      </c>
      <c r="M83">
        <v>110318.84</v>
      </c>
      <c r="N83">
        <f t="shared" si="5"/>
        <v>1</v>
      </c>
      <c r="O83">
        <f t="shared" si="6"/>
        <v>0</v>
      </c>
      <c r="P83">
        <f t="shared" si="7"/>
        <v>0</v>
      </c>
      <c r="T83" s="18">
        <v>682208.01</v>
      </c>
      <c r="U83" s="18">
        <v>60628.38</v>
      </c>
      <c r="V83" s="19">
        <v>4451</v>
      </c>
      <c r="W83" s="19">
        <v>9.5000000000000001E-2</v>
      </c>
      <c r="X83" s="19">
        <v>1</v>
      </c>
      <c r="Y83" s="19">
        <v>0</v>
      </c>
      <c r="Z83" s="19">
        <v>0</v>
      </c>
    </row>
    <row r="84" spans="1:26">
      <c r="A84" s="2">
        <v>45717</v>
      </c>
      <c r="B84" t="s">
        <v>27</v>
      </c>
      <c r="C84" t="s">
        <v>28</v>
      </c>
      <c r="D84" s="5">
        <v>72731.14</v>
      </c>
      <c r="E84">
        <v>4644</v>
      </c>
      <c r="F84">
        <v>8.4000000000000005E-2</v>
      </c>
      <c r="G84">
        <v>15</v>
      </c>
      <c r="H84">
        <v>87.1</v>
      </c>
      <c r="I84">
        <v>2.66</v>
      </c>
      <c r="J84">
        <v>0</v>
      </c>
      <c r="K84">
        <v>4.5999999999999996</v>
      </c>
      <c r="L84" s="5">
        <v>727241.86</v>
      </c>
      <c r="M84">
        <v>155810.29999999999</v>
      </c>
      <c r="N84">
        <f t="shared" si="5"/>
        <v>1</v>
      </c>
      <c r="O84">
        <f t="shared" si="6"/>
        <v>0</v>
      </c>
      <c r="P84">
        <f t="shared" si="7"/>
        <v>0</v>
      </c>
      <c r="T84" s="18">
        <v>727241.86</v>
      </c>
      <c r="U84" s="18">
        <v>72731.14</v>
      </c>
      <c r="V84" s="19">
        <v>4644</v>
      </c>
      <c r="W84" s="19">
        <v>8.4000000000000005E-2</v>
      </c>
      <c r="X84" s="19">
        <v>1</v>
      </c>
      <c r="Y84" s="19">
        <v>0</v>
      </c>
      <c r="Z84" s="19">
        <v>0</v>
      </c>
    </row>
    <row r="85" spans="1:26">
      <c r="A85" s="2">
        <v>45748</v>
      </c>
      <c r="B85" t="s">
        <v>27</v>
      </c>
      <c r="C85" t="s">
        <v>28</v>
      </c>
      <c r="D85" s="5">
        <v>36475.71</v>
      </c>
      <c r="E85">
        <v>3559</v>
      </c>
      <c r="F85">
        <v>0.03</v>
      </c>
      <c r="G85">
        <v>8</v>
      </c>
      <c r="H85">
        <v>83.6</v>
      </c>
      <c r="I85">
        <v>1.41</v>
      </c>
      <c r="J85">
        <v>0</v>
      </c>
      <c r="K85">
        <v>4.2</v>
      </c>
      <c r="L85" s="5">
        <v>569100.78</v>
      </c>
      <c r="M85">
        <v>104808.78</v>
      </c>
      <c r="N85">
        <f t="shared" si="5"/>
        <v>1</v>
      </c>
      <c r="O85">
        <f t="shared" si="6"/>
        <v>0</v>
      </c>
      <c r="P85">
        <f t="shared" si="7"/>
        <v>0</v>
      </c>
      <c r="T85" s="18">
        <v>569100.78</v>
      </c>
      <c r="U85" s="18">
        <v>36475.71</v>
      </c>
      <c r="V85" s="19">
        <v>3559</v>
      </c>
      <c r="W85" s="19">
        <v>0.03</v>
      </c>
      <c r="X85" s="19">
        <v>1</v>
      </c>
      <c r="Y85" s="19">
        <v>0</v>
      </c>
      <c r="Z85" s="19">
        <v>0</v>
      </c>
    </row>
    <row r="86" spans="1:26">
      <c r="A86" s="2">
        <v>45658</v>
      </c>
      <c r="B86" t="s">
        <v>27</v>
      </c>
      <c r="C86" t="s">
        <v>18</v>
      </c>
      <c r="D86" s="5">
        <v>55388.11</v>
      </c>
      <c r="E86">
        <v>3091</v>
      </c>
      <c r="F86">
        <v>0.108</v>
      </c>
      <c r="G86">
        <v>7</v>
      </c>
      <c r="H86">
        <v>85.4</v>
      </c>
      <c r="I86">
        <v>7.34</v>
      </c>
      <c r="J86">
        <v>0</v>
      </c>
      <c r="K86">
        <v>4.9000000000000004</v>
      </c>
      <c r="L86" s="5">
        <v>574436.29</v>
      </c>
      <c r="M86">
        <v>80271.990000000005</v>
      </c>
      <c r="N86">
        <f t="shared" si="5"/>
        <v>0</v>
      </c>
      <c r="O86">
        <f t="shared" si="6"/>
        <v>1</v>
      </c>
      <c r="P86">
        <f t="shared" si="7"/>
        <v>0</v>
      </c>
      <c r="T86" s="18">
        <v>574436.29</v>
      </c>
      <c r="U86" s="18">
        <v>55388.11</v>
      </c>
      <c r="V86" s="19">
        <v>3091</v>
      </c>
      <c r="W86" s="19">
        <v>0.108</v>
      </c>
      <c r="X86" s="19">
        <v>0</v>
      </c>
      <c r="Y86" s="19">
        <v>1</v>
      </c>
      <c r="Z86" s="19">
        <v>0</v>
      </c>
    </row>
    <row r="87" spans="1:26">
      <c r="A87" s="2">
        <v>45689</v>
      </c>
      <c r="B87" t="s">
        <v>27</v>
      </c>
      <c r="C87" t="s">
        <v>18</v>
      </c>
      <c r="D87" s="5">
        <v>88443.77</v>
      </c>
      <c r="E87">
        <v>4004</v>
      </c>
      <c r="F87">
        <v>0.20599999999999999</v>
      </c>
      <c r="G87">
        <v>11</v>
      </c>
      <c r="H87">
        <v>91.9</v>
      </c>
      <c r="I87">
        <v>5.95</v>
      </c>
      <c r="J87">
        <v>0</v>
      </c>
      <c r="L87" s="5">
        <v>611766.72</v>
      </c>
      <c r="M87">
        <v>88275.61</v>
      </c>
      <c r="N87">
        <f t="shared" si="5"/>
        <v>0</v>
      </c>
      <c r="O87">
        <f t="shared" si="6"/>
        <v>1</v>
      </c>
      <c r="P87">
        <f t="shared" si="7"/>
        <v>0</v>
      </c>
      <c r="T87" s="18">
        <v>611766.72</v>
      </c>
      <c r="U87" s="18">
        <v>88443.77</v>
      </c>
      <c r="V87" s="19">
        <v>4004</v>
      </c>
      <c r="W87" s="19">
        <v>0.20599999999999999</v>
      </c>
      <c r="X87" s="19">
        <v>0</v>
      </c>
      <c r="Y87" s="19">
        <v>1</v>
      </c>
      <c r="Z87" s="19">
        <v>0</v>
      </c>
    </row>
    <row r="88" spans="1:26">
      <c r="A88" s="2">
        <v>45717</v>
      </c>
      <c r="B88" t="s">
        <v>27</v>
      </c>
      <c r="C88" t="s">
        <v>18</v>
      </c>
      <c r="D88" s="5">
        <v>78231.91</v>
      </c>
      <c r="E88">
        <v>3788</v>
      </c>
      <c r="F88">
        <v>5.8999999999999997E-2</v>
      </c>
      <c r="G88">
        <v>11</v>
      </c>
      <c r="H88">
        <v>88.5</v>
      </c>
      <c r="I88">
        <v>15.51</v>
      </c>
      <c r="J88">
        <v>0</v>
      </c>
      <c r="K88">
        <v>4.3</v>
      </c>
      <c r="L88" s="5">
        <v>614596.31999999995</v>
      </c>
      <c r="M88">
        <v>131199.41</v>
      </c>
      <c r="N88">
        <f t="shared" si="5"/>
        <v>0</v>
      </c>
      <c r="O88">
        <f t="shared" si="6"/>
        <v>1</v>
      </c>
      <c r="P88">
        <f t="shared" si="7"/>
        <v>0</v>
      </c>
      <c r="T88" s="18">
        <v>614596.31999999995</v>
      </c>
      <c r="U88" s="18">
        <v>78231.91</v>
      </c>
      <c r="V88" s="19">
        <v>3788</v>
      </c>
      <c r="W88" s="19">
        <v>5.8999999999999997E-2</v>
      </c>
      <c r="X88" s="19">
        <v>0</v>
      </c>
      <c r="Y88" s="19">
        <v>1</v>
      </c>
      <c r="Z88" s="19">
        <v>0</v>
      </c>
    </row>
    <row r="89" spans="1:26">
      <c r="A89" s="2">
        <v>45748</v>
      </c>
      <c r="B89" t="s">
        <v>27</v>
      </c>
      <c r="C89" t="s">
        <v>18</v>
      </c>
      <c r="D89" s="5">
        <v>18996.32</v>
      </c>
      <c r="E89">
        <v>1260</v>
      </c>
      <c r="F89">
        <v>0.14499999999999999</v>
      </c>
      <c r="G89">
        <v>9</v>
      </c>
      <c r="H89">
        <v>86.4</v>
      </c>
      <c r="I89">
        <v>4.3099999999999996</v>
      </c>
      <c r="J89">
        <v>0</v>
      </c>
      <c r="K89">
        <v>4.5999999999999996</v>
      </c>
      <c r="L89" s="5">
        <v>450711.92</v>
      </c>
      <c r="M89">
        <v>90043.76</v>
      </c>
      <c r="N89">
        <f t="shared" si="5"/>
        <v>0</v>
      </c>
      <c r="O89">
        <f t="shared" si="6"/>
        <v>1</v>
      </c>
      <c r="P89">
        <f t="shared" si="7"/>
        <v>0</v>
      </c>
      <c r="T89" s="18">
        <v>450711.92</v>
      </c>
      <c r="U89" s="18">
        <v>18996.32</v>
      </c>
      <c r="V89" s="19">
        <v>1260</v>
      </c>
      <c r="W89" s="19">
        <v>0.14499999999999999</v>
      </c>
      <c r="X89" s="19">
        <v>0</v>
      </c>
      <c r="Y89" s="19">
        <v>1</v>
      </c>
      <c r="Z89" s="19">
        <v>0</v>
      </c>
    </row>
    <row r="90" spans="1:26">
      <c r="A90" s="2">
        <v>45658</v>
      </c>
      <c r="B90" t="s">
        <v>24</v>
      </c>
      <c r="C90" t="s">
        <v>28</v>
      </c>
      <c r="D90" s="5">
        <v>50517.94</v>
      </c>
      <c r="E90">
        <v>7024</v>
      </c>
      <c r="F90">
        <v>2.9000000000000001E-2</v>
      </c>
      <c r="G90">
        <v>18</v>
      </c>
      <c r="H90">
        <v>79.2</v>
      </c>
      <c r="I90">
        <v>6.61</v>
      </c>
      <c r="J90">
        <v>1</v>
      </c>
      <c r="K90">
        <v>4.0999999999999996</v>
      </c>
      <c r="L90" s="5">
        <v>711213.46</v>
      </c>
      <c r="M90">
        <v>105863.26</v>
      </c>
      <c r="N90">
        <f t="shared" si="5"/>
        <v>1</v>
      </c>
      <c r="O90">
        <f t="shared" si="6"/>
        <v>0</v>
      </c>
      <c r="P90">
        <f t="shared" si="7"/>
        <v>0</v>
      </c>
      <c r="T90" s="18">
        <v>711213.46</v>
      </c>
      <c r="U90" s="18">
        <v>50517.94</v>
      </c>
      <c r="V90" s="19">
        <v>7024</v>
      </c>
      <c r="W90" s="19">
        <v>2.9000000000000001E-2</v>
      </c>
      <c r="X90" s="19">
        <v>1</v>
      </c>
      <c r="Y90" s="19">
        <v>0</v>
      </c>
      <c r="Z90" s="19">
        <v>0</v>
      </c>
    </row>
    <row r="91" spans="1:26">
      <c r="A91" s="2">
        <v>45689</v>
      </c>
      <c r="B91" t="s">
        <v>24</v>
      </c>
      <c r="C91" t="s">
        <v>28</v>
      </c>
      <c r="D91" s="5">
        <v>141540.29</v>
      </c>
      <c r="E91">
        <v>5400</v>
      </c>
      <c r="F91">
        <v>1.2999999999999999E-2</v>
      </c>
      <c r="G91">
        <v>12</v>
      </c>
      <c r="H91">
        <v>87</v>
      </c>
      <c r="I91">
        <v>4.26</v>
      </c>
      <c r="J91">
        <v>0</v>
      </c>
      <c r="K91">
        <v>4.5</v>
      </c>
      <c r="L91" s="5">
        <v>627171.9</v>
      </c>
      <c r="M91">
        <v>105772.75</v>
      </c>
      <c r="N91">
        <f t="shared" si="5"/>
        <v>1</v>
      </c>
      <c r="O91">
        <f t="shared" si="6"/>
        <v>0</v>
      </c>
      <c r="P91">
        <f t="shared" si="7"/>
        <v>0</v>
      </c>
      <c r="T91" s="18">
        <v>627171.9</v>
      </c>
      <c r="U91" s="18">
        <v>141540.29</v>
      </c>
      <c r="V91" s="19">
        <v>5400</v>
      </c>
      <c r="W91" s="19">
        <v>1.2999999999999999E-2</v>
      </c>
      <c r="X91" s="19">
        <v>1</v>
      </c>
      <c r="Y91" s="19">
        <v>0</v>
      </c>
      <c r="Z91" s="19">
        <v>0</v>
      </c>
    </row>
    <row r="92" spans="1:26">
      <c r="A92" s="2">
        <v>45717</v>
      </c>
      <c r="B92" t="s">
        <v>24</v>
      </c>
      <c r="C92" t="s">
        <v>28</v>
      </c>
      <c r="D92" s="5">
        <v>82116.19</v>
      </c>
      <c r="E92">
        <v>5988</v>
      </c>
      <c r="F92">
        <v>0.04</v>
      </c>
      <c r="G92">
        <v>17</v>
      </c>
      <c r="H92">
        <v>91.8</v>
      </c>
      <c r="I92">
        <v>5.75</v>
      </c>
      <c r="J92">
        <v>0</v>
      </c>
      <c r="K92">
        <v>4.7</v>
      </c>
      <c r="L92" s="5">
        <v>739852.58</v>
      </c>
      <c r="M92">
        <v>129386.43</v>
      </c>
      <c r="N92">
        <f t="shared" si="5"/>
        <v>1</v>
      </c>
      <c r="O92">
        <f t="shared" si="6"/>
        <v>0</v>
      </c>
      <c r="P92">
        <f t="shared" si="7"/>
        <v>0</v>
      </c>
      <c r="T92" s="18">
        <v>739852.58</v>
      </c>
      <c r="U92" s="18">
        <v>82116.19</v>
      </c>
      <c r="V92" s="19">
        <v>5988</v>
      </c>
      <c r="W92" s="19">
        <v>0.04</v>
      </c>
      <c r="X92" s="19">
        <v>1</v>
      </c>
      <c r="Y92" s="19">
        <v>0</v>
      </c>
      <c r="Z92" s="19">
        <v>0</v>
      </c>
    </row>
    <row r="93" spans="1:26">
      <c r="A93" s="2">
        <v>45748</v>
      </c>
      <c r="B93" t="s">
        <v>24</v>
      </c>
      <c r="C93" t="s">
        <v>28</v>
      </c>
      <c r="D93" s="5">
        <v>31207.51</v>
      </c>
      <c r="E93">
        <v>3701</v>
      </c>
      <c r="F93">
        <v>4.2999999999999997E-2</v>
      </c>
      <c r="G93">
        <v>11</v>
      </c>
      <c r="H93">
        <v>84.7</v>
      </c>
      <c r="I93">
        <v>0.33</v>
      </c>
      <c r="J93">
        <v>0</v>
      </c>
      <c r="K93">
        <v>4.3</v>
      </c>
      <c r="L93" s="5">
        <v>586307.22</v>
      </c>
      <c r="M93">
        <v>73927.850000000006</v>
      </c>
      <c r="N93">
        <f t="shared" si="5"/>
        <v>1</v>
      </c>
      <c r="O93">
        <f t="shared" si="6"/>
        <v>0</v>
      </c>
      <c r="P93">
        <f t="shared" si="7"/>
        <v>0</v>
      </c>
      <c r="T93" s="18">
        <v>586307.22</v>
      </c>
      <c r="U93" s="18">
        <v>31207.51</v>
      </c>
      <c r="V93" s="19">
        <v>3701</v>
      </c>
      <c r="W93" s="19">
        <v>4.2999999999999997E-2</v>
      </c>
      <c r="X93" s="19">
        <v>1</v>
      </c>
      <c r="Y93" s="19">
        <v>0</v>
      </c>
      <c r="Z93" s="19">
        <v>0</v>
      </c>
    </row>
    <row r="94" spans="1:26">
      <c r="A94" s="2">
        <v>45658</v>
      </c>
      <c r="B94" t="s">
        <v>27</v>
      </c>
      <c r="C94" t="s">
        <v>16</v>
      </c>
      <c r="D94" s="5">
        <v>38966.589999999997</v>
      </c>
      <c r="E94">
        <v>4509</v>
      </c>
      <c r="F94">
        <v>0.19400000000000001</v>
      </c>
      <c r="G94">
        <v>14</v>
      </c>
      <c r="H94">
        <v>91.1</v>
      </c>
      <c r="I94">
        <v>2.92</v>
      </c>
      <c r="J94">
        <v>0</v>
      </c>
      <c r="K94">
        <v>4.5999999999999996</v>
      </c>
      <c r="L94" s="5">
        <v>585937.48</v>
      </c>
      <c r="M94">
        <v>82624.2</v>
      </c>
      <c r="N94">
        <f t="shared" si="5"/>
        <v>0</v>
      </c>
      <c r="O94">
        <f t="shared" si="6"/>
        <v>0</v>
      </c>
      <c r="P94">
        <f t="shared" si="7"/>
        <v>0</v>
      </c>
      <c r="T94" s="18">
        <v>585937.48</v>
      </c>
      <c r="U94" s="18">
        <v>38966.589999999997</v>
      </c>
      <c r="V94" s="19">
        <v>4509</v>
      </c>
      <c r="W94" s="19">
        <v>0.19400000000000001</v>
      </c>
      <c r="X94" s="19">
        <v>0</v>
      </c>
      <c r="Y94" s="19">
        <v>0</v>
      </c>
      <c r="Z94" s="19">
        <v>0</v>
      </c>
    </row>
    <row r="95" spans="1:26">
      <c r="A95" s="2">
        <v>45689</v>
      </c>
      <c r="B95" t="s">
        <v>27</v>
      </c>
      <c r="C95" t="s">
        <v>16</v>
      </c>
      <c r="D95" s="5">
        <v>67439.3</v>
      </c>
      <c r="E95">
        <v>6477</v>
      </c>
      <c r="F95">
        <v>0</v>
      </c>
      <c r="G95">
        <v>16</v>
      </c>
      <c r="H95">
        <v>90.9</v>
      </c>
      <c r="I95">
        <v>1.64</v>
      </c>
      <c r="J95">
        <v>0</v>
      </c>
      <c r="K95">
        <v>4.5</v>
      </c>
      <c r="L95" s="5">
        <v>753473.55</v>
      </c>
      <c r="M95">
        <v>151527.22</v>
      </c>
      <c r="N95">
        <f t="shared" si="5"/>
        <v>0</v>
      </c>
      <c r="O95">
        <f t="shared" si="6"/>
        <v>0</v>
      </c>
      <c r="P95">
        <f t="shared" si="7"/>
        <v>0</v>
      </c>
      <c r="T95" s="18">
        <v>753473.55</v>
      </c>
      <c r="U95" s="18">
        <v>67439.3</v>
      </c>
      <c r="V95" s="19">
        <v>6477</v>
      </c>
      <c r="W95" s="19">
        <v>0</v>
      </c>
      <c r="X95" s="19">
        <v>0</v>
      </c>
      <c r="Y95" s="19">
        <v>0</v>
      </c>
      <c r="Z95" s="19">
        <v>0</v>
      </c>
    </row>
    <row r="96" spans="1:26">
      <c r="A96" s="2">
        <v>45717</v>
      </c>
      <c r="B96" t="s">
        <v>27</v>
      </c>
      <c r="C96" t="s">
        <v>16</v>
      </c>
      <c r="D96" s="5">
        <v>86421.88</v>
      </c>
      <c r="E96">
        <v>7970</v>
      </c>
      <c r="F96">
        <v>7.2999999999999995E-2</v>
      </c>
      <c r="G96">
        <v>17</v>
      </c>
      <c r="H96">
        <v>91.3</v>
      </c>
      <c r="I96">
        <v>0.8</v>
      </c>
      <c r="J96">
        <v>0</v>
      </c>
      <c r="K96">
        <v>5</v>
      </c>
      <c r="L96" s="5">
        <v>838250.32</v>
      </c>
      <c r="M96">
        <v>122939.34</v>
      </c>
      <c r="N96">
        <f t="shared" si="5"/>
        <v>0</v>
      </c>
      <c r="O96">
        <f t="shared" si="6"/>
        <v>0</v>
      </c>
      <c r="P96">
        <f t="shared" si="7"/>
        <v>0</v>
      </c>
      <c r="T96" s="18">
        <v>838250.32</v>
      </c>
      <c r="U96" s="18">
        <v>86421.88</v>
      </c>
      <c r="V96" s="19">
        <v>7970</v>
      </c>
      <c r="W96" s="19">
        <v>7.2999999999999995E-2</v>
      </c>
      <c r="X96" s="19">
        <v>0</v>
      </c>
      <c r="Y96" s="19">
        <v>0</v>
      </c>
      <c r="Z96" s="19">
        <v>0</v>
      </c>
    </row>
    <row r="97" spans="1:26">
      <c r="A97" s="2">
        <v>45748</v>
      </c>
      <c r="B97" t="s">
        <v>27</v>
      </c>
      <c r="C97" t="s">
        <v>16</v>
      </c>
      <c r="D97" s="5">
        <v>9534.65</v>
      </c>
      <c r="E97">
        <v>6057</v>
      </c>
      <c r="F97">
        <v>7.3999999999999996E-2</v>
      </c>
      <c r="G97">
        <v>15</v>
      </c>
      <c r="H97">
        <v>94.1</v>
      </c>
      <c r="I97">
        <v>5.79</v>
      </c>
      <c r="J97">
        <v>0</v>
      </c>
      <c r="K97">
        <v>4.5</v>
      </c>
      <c r="L97" s="5">
        <v>607898.12</v>
      </c>
      <c r="M97">
        <v>135404.85</v>
      </c>
      <c r="N97">
        <f t="shared" si="5"/>
        <v>0</v>
      </c>
      <c r="O97">
        <f t="shared" si="6"/>
        <v>0</v>
      </c>
      <c r="P97">
        <f t="shared" si="7"/>
        <v>0</v>
      </c>
      <c r="T97" s="18">
        <v>607898.12</v>
      </c>
      <c r="U97" s="18">
        <v>9534.65</v>
      </c>
      <c r="V97" s="19">
        <v>6057</v>
      </c>
      <c r="W97" s="19">
        <v>7.3999999999999996E-2</v>
      </c>
      <c r="X97" s="19">
        <v>0</v>
      </c>
      <c r="Y97" s="19">
        <v>0</v>
      </c>
      <c r="Z97" s="19">
        <v>0</v>
      </c>
    </row>
    <row r="98" spans="1:26">
      <c r="A98" s="2">
        <v>45658</v>
      </c>
      <c r="B98" t="s">
        <v>27</v>
      </c>
      <c r="C98" t="s">
        <v>28</v>
      </c>
      <c r="D98" s="5">
        <v>61132.07</v>
      </c>
      <c r="E98">
        <v>6394</v>
      </c>
      <c r="F98">
        <v>0.16300000000000001</v>
      </c>
      <c r="G98">
        <v>19</v>
      </c>
      <c r="H98">
        <v>91</v>
      </c>
      <c r="I98">
        <v>19.600000000000001</v>
      </c>
      <c r="J98">
        <v>0</v>
      </c>
      <c r="K98">
        <v>4.4000000000000004</v>
      </c>
      <c r="L98" s="5">
        <v>691113.62</v>
      </c>
      <c r="M98">
        <v>135145.44</v>
      </c>
      <c r="N98">
        <f t="shared" si="5"/>
        <v>1</v>
      </c>
      <c r="O98">
        <f t="shared" si="6"/>
        <v>0</v>
      </c>
      <c r="P98">
        <f t="shared" si="7"/>
        <v>0</v>
      </c>
      <c r="T98" s="18">
        <v>691113.62</v>
      </c>
      <c r="U98" s="18">
        <v>61132.07</v>
      </c>
      <c r="V98" s="19">
        <v>6394</v>
      </c>
      <c r="W98" s="19">
        <v>0.16300000000000001</v>
      </c>
      <c r="X98" s="19">
        <v>1</v>
      </c>
      <c r="Y98" s="19">
        <v>0</v>
      </c>
      <c r="Z98" s="19">
        <v>0</v>
      </c>
    </row>
    <row r="99" spans="1:26">
      <c r="A99" s="2">
        <v>45689</v>
      </c>
      <c r="B99" t="s">
        <v>27</v>
      </c>
      <c r="C99" t="s">
        <v>28</v>
      </c>
      <c r="D99" s="5">
        <v>78839.39</v>
      </c>
      <c r="E99">
        <v>5150</v>
      </c>
      <c r="F99">
        <v>0.17100000000000001</v>
      </c>
      <c r="G99">
        <v>13</v>
      </c>
      <c r="H99">
        <v>85.8</v>
      </c>
      <c r="I99">
        <v>7.57</v>
      </c>
      <c r="J99">
        <v>0</v>
      </c>
      <c r="K99">
        <v>4.3</v>
      </c>
      <c r="L99" s="5">
        <v>735509.4</v>
      </c>
      <c r="M99">
        <v>83895.96</v>
      </c>
      <c r="N99">
        <f t="shared" si="5"/>
        <v>1</v>
      </c>
      <c r="O99">
        <f t="shared" si="6"/>
        <v>0</v>
      </c>
      <c r="P99">
        <f t="shared" si="7"/>
        <v>0</v>
      </c>
      <c r="T99" s="18">
        <v>735509.4</v>
      </c>
      <c r="U99" s="18">
        <v>78839.39</v>
      </c>
      <c r="V99" s="19">
        <v>5150</v>
      </c>
      <c r="W99" s="19">
        <v>0.17100000000000001</v>
      </c>
      <c r="X99" s="19">
        <v>1</v>
      </c>
      <c r="Y99" s="19">
        <v>0</v>
      </c>
      <c r="Z99" s="19">
        <v>0</v>
      </c>
    </row>
    <row r="100" spans="1:26">
      <c r="A100" s="2">
        <v>45717</v>
      </c>
      <c r="B100" t="s">
        <v>27</v>
      </c>
      <c r="C100" t="s">
        <v>28</v>
      </c>
      <c r="D100" s="5">
        <v>38752.800000000003</v>
      </c>
      <c r="E100">
        <v>4712</v>
      </c>
      <c r="F100">
        <v>7.4999999999999997E-2</v>
      </c>
      <c r="G100">
        <v>15</v>
      </c>
      <c r="H100">
        <v>89.7</v>
      </c>
      <c r="J100">
        <v>0</v>
      </c>
      <c r="K100">
        <v>4.3</v>
      </c>
      <c r="L100" s="5">
        <v>605775.32999999996</v>
      </c>
      <c r="M100">
        <v>107194.6</v>
      </c>
      <c r="N100">
        <f t="shared" si="5"/>
        <v>1</v>
      </c>
      <c r="O100">
        <f t="shared" si="6"/>
        <v>0</v>
      </c>
      <c r="P100">
        <f t="shared" si="7"/>
        <v>0</v>
      </c>
      <c r="T100" s="18">
        <v>605775.32999999996</v>
      </c>
      <c r="U100" s="18">
        <v>38752.800000000003</v>
      </c>
      <c r="V100" s="19">
        <v>4712</v>
      </c>
      <c r="W100" s="19">
        <v>7.4999999999999997E-2</v>
      </c>
      <c r="X100" s="19">
        <v>1</v>
      </c>
      <c r="Y100" s="19">
        <v>0</v>
      </c>
      <c r="Z100" s="19">
        <v>0</v>
      </c>
    </row>
    <row r="101" spans="1:26">
      <c r="A101" s="2">
        <v>45748</v>
      </c>
      <c r="B101" t="s">
        <v>27</v>
      </c>
      <c r="C101" t="s">
        <v>28</v>
      </c>
      <c r="D101" s="5">
        <v>55101.1</v>
      </c>
      <c r="E101">
        <v>5281</v>
      </c>
      <c r="F101">
        <v>0.189</v>
      </c>
      <c r="G101">
        <v>11</v>
      </c>
      <c r="H101">
        <v>91</v>
      </c>
      <c r="I101">
        <v>2.7</v>
      </c>
      <c r="J101">
        <v>0</v>
      </c>
      <c r="K101">
        <v>4.4000000000000004</v>
      </c>
      <c r="L101" s="5">
        <v>675177.68</v>
      </c>
      <c r="M101">
        <v>105628.68</v>
      </c>
      <c r="N101">
        <f t="shared" si="5"/>
        <v>1</v>
      </c>
      <c r="O101">
        <f t="shared" si="6"/>
        <v>0</v>
      </c>
      <c r="P101">
        <f t="shared" si="7"/>
        <v>0</v>
      </c>
      <c r="T101" s="18">
        <v>675177.68</v>
      </c>
      <c r="U101" s="18">
        <v>55101.1</v>
      </c>
      <c r="V101" s="19">
        <v>5281</v>
      </c>
      <c r="W101" s="19">
        <v>0.189</v>
      </c>
      <c r="X101" s="19">
        <v>1</v>
      </c>
      <c r="Y101" s="19">
        <v>0</v>
      </c>
      <c r="Z101" s="19">
        <v>0</v>
      </c>
    </row>
    <row r="102" spans="1:26">
      <c r="A102" s="2">
        <v>45658</v>
      </c>
      <c r="B102" t="s">
        <v>15</v>
      </c>
      <c r="C102" t="s">
        <v>28</v>
      </c>
      <c r="D102" s="5">
        <v>53084.76</v>
      </c>
      <c r="E102">
        <v>3642</v>
      </c>
      <c r="F102">
        <v>0.15</v>
      </c>
      <c r="G102">
        <v>12</v>
      </c>
      <c r="H102">
        <v>91.4</v>
      </c>
      <c r="I102">
        <v>0.2</v>
      </c>
      <c r="J102">
        <v>0</v>
      </c>
      <c r="K102">
        <v>4.4000000000000004</v>
      </c>
      <c r="L102" s="5">
        <v>635181.35</v>
      </c>
      <c r="M102">
        <v>83341.25</v>
      </c>
      <c r="N102">
        <f t="shared" si="5"/>
        <v>1</v>
      </c>
      <c r="O102">
        <f t="shared" si="6"/>
        <v>0</v>
      </c>
      <c r="P102">
        <f t="shared" si="7"/>
        <v>0</v>
      </c>
      <c r="T102" s="18">
        <v>635181.35</v>
      </c>
      <c r="U102" s="18">
        <v>53084.76</v>
      </c>
      <c r="V102" s="19">
        <v>3642</v>
      </c>
      <c r="W102" s="19">
        <v>0.15</v>
      </c>
      <c r="X102" s="19">
        <v>1</v>
      </c>
      <c r="Y102" s="19">
        <v>0</v>
      </c>
      <c r="Z102" s="19">
        <v>0</v>
      </c>
    </row>
    <row r="103" spans="1:26">
      <c r="A103" s="2">
        <v>45689</v>
      </c>
      <c r="B103" t="s">
        <v>15</v>
      </c>
      <c r="C103" t="s">
        <v>28</v>
      </c>
      <c r="D103" s="5">
        <v>63101.59</v>
      </c>
      <c r="E103">
        <v>4373</v>
      </c>
      <c r="F103">
        <v>0.17299999999999999</v>
      </c>
      <c r="G103">
        <v>14</v>
      </c>
      <c r="H103">
        <v>90.4</v>
      </c>
      <c r="I103">
        <v>7.87</v>
      </c>
      <c r="J103">
        <v>0</v>
      </c>
      <c r="K103">
        <v>4.7</v>
      </c>
      <c r="L103" s="5">
        <v>586626.93999999994</v>
      </c>
      <c r="M103">
        <v>86498.55</v>
      </c>
      <c r="N103">
        <f t="shared" si="5"/>
        <v>1</v>
      </c>
      <c r="O103">
        <f t="shared" si="6"/>
        <v>0</v>
      </c>
      <c r="P103">
        <f t="shared" si="7"/>
        <v>0</v>
      </c>
      <c r="T103" s="18">
        <v>586626.93999999994</v>
      </c>
      <c r="U103" s="18">
        <v>63101.59</v>
      </c>
      <c r="V103" s="19">
        <v>4373</v>
      </c>
      <c r="W103" s="19">
        <v>0.17299999999999999</v>
      </c>
      <c r="X103" s="19">
        <v>1</v>
      </c>
      <c r="Y103" s="19">
        <v>0</v>
      </c>
      <c r="Z103" s="19">
        <v>0</v>
      </c>
    </row>
    <row r="104" spans="1:26">
      <c r="A104" s="2">
        <v>45717</v>
      </c>
      <c r="B104" t="s">
        <v>15</v>
      </c>
      <c r="C104" t="s">
        <v>28</v>
      </c>
      <c r="D104" s="5">
        <v>90084.4</v>
      </c>
      <c r="E104">
        <v>6832</v>
      </c>
      <c r="F104">
        <v>0.185</v>
      </c>
      <c r="G104">
        <v>14</v>
      </c>
      <c r="H104">
        <v>80.5</v>
      </c>
      <c r="I104">
        <v>0.77</v>
      </c>
      <c r="J104">
        <v>1</v>
      </c>
      <c r="K104">
        <v>4.4000000000000004</v>
      </c>
      <c r="L104" s="5">
        <v>740102.64</v>
      </c>
      <c r="M104">
        <v>114299.07</v>
      </c>
      <c r="N104">
        <f t="shared" si="5"/>
        <v>1</v>
      </c>
      <c r="O104">
        <f t="shared" si="6"/>
        <v>0</v>
      </c>
      <c r="P104">
        <f t="shared" si="7"/>
        <v>0</v>
      </c>
      <c r="T104" s="18">
        <v>740102.64</v>
      </c>
      <c r="U104" s="18">
        <v>90084.4</v>
      </c>
      <c r="V104" s="19">
        <v>6832</v>
      </c>
      <c r="W104" s="19">
        <v>0.185</v>
      </c>
      <c r="X104" s="19">
        <v>1</v>
      </c>
      <c r="Y104" s="19">
        <v>0</v>
      </c>
      <c r="Z104" s="19">
        <v>0</v>
      </c>
    </row>
    <row r="105" spans="1:26">
      <c r="A105" s="2">
        <v>45748</v>
      </c>
      <c r="B105" t="s">
        <v>15</v>
      </c>
      <c r="C105" t="s">
        <v>28</v>
      </c>
      <c r="D105" s="5">
        <v>32266.639999999999</v>
      </c>
      <c r="E105">
        <v>2414</v>
      </c>
      <c r="F105">
        <v>0.08</v>
      </c>
      <c r="G105">
        <v>7</v>
      </c>
      <c r="H105">
        <v>92.1</v>
      </c>
      <c r="I105">
        <v>1.48</v>
      </c>
      <c r="J105">
        <v>0</v>
      </c>
      <c r="K105">
        <v>5</v>
      </c>
      <c r="L105" s="5">
        <v>625514.04</v>
      </c>
      <c r="M105">
        <v>120685.08</v>
      </c>
      <c r="N105">
        <f t="shared" si="5"/>
        <v>1</v>
      </c>
      <c r="O105">
        <f t="shared" si="6"/>
        <v>0</v>
      </c>
      <c r="P105">
        <f t="shared" si="7"/>
        <v>0</v>
      </c>
      <c r="T105" s="18">
        <v>625514.04</v>
      </c>
      <c r="U105" s="18">
        <v>32266.639999999999</v>
      </c>
      <c r="V105" s="19">
        <v>2414</v>
      </c>
      <c r="W105" s="19">
        <v>0.08</v>
      </c>
      <c r="X105" s="19">
        <v>1</v>
      </c>
      <c r="Y105" s="19">
        <v>0</v>
      </c>
      <c r="Z105" s="19">
        <v>0</v>
      </c>
    </row>
    <row r="106" spans="1:26">
      <c r="A106" s="2">
        <v>45658</v>
      </c>
      <c r="B106" t="s">
        <v>27</v>
      </c>
      <c r="C106" t="s">
        <v>18</v>
      </c>
      <c r="D106" s="5">
        <v>57919.07</v>
      </c>
      <c r="E106">
        <v>7374</v>
      </c>
      <c r="F106">
        <v>0.10299999999999999</v>
      </c>
      <c r="G106">
        <v>21</v>
      </c>
      <c r="H106">
        <v>82.3</v>
      </c>
      <c r="I106">
        <v>2.87</v>
      </c>
      <c r="J106">
        <v>0</v>
      </c>
      <c r="K106">
        <v>2.9</v>
      </c>
      <c r="L106" s="5">
        <v>727227.2</v>
      </c>
      <c r="M106">
        <v>121292.01</v>
      </c>
      <c r="N106">
        <f t="shared" si="5"/>
        <v>0</v>
      </c>
      <c r="O106">
        <f t="shared" si="6"/>
        <v>1</v>
      </c>
      <c r="P106">
        <f t="shared" si="7"/>
        <v>0</v>
      </c>
      <c r="T106" s="18">
        <v>727227.2</v>
      </c>
      <c r="U106" s="18">
        <v>57919.07</v>
      </c>
      <c r="V106" s="19">
        <v>7374</v>
      </c>
      <c r="W106" s="19">
        <v>0.10299999999999999</v>
      </c>
      <c r="X106" s="19">
        <v>0</v>
      </c>
      <c r="Y106" s="19">
        <v>1</v>
      </c>
      <c r="Z106" s="19">
        <v>0</v>
      </c>
    </row>
    <row r="107" spans="1:26">
      <c r="A107" s="2">
        <v>45689</v>
      </c>
      <c r="B107" t="s">
        <v>27</v>
      </c>
      <c r="C107" t="s">
        <v>18</v>
      </c>
      <c r="D107" s="5">
        <v>74679.350000000006</v>
      </c>
      <c r="E107">
        <v>8739</v>
      </c>
      <c r="F107">
        <v>5.6000000000000001E-2</v>
      </c>
      <c r="G107">
        <v>21</v>
      </c>
      <c r="H107">
        <v>91.8</v>
      </c>
      <c r="I107">
        <v>2.83</v>
      </c>
      <c r="J107">
        <v>0</v>
      </c>
      <c r="K107">
        <v>3</v>
      </c>
      <c r="L107" s="5">
        <v>783797.89</v>
      </c>
      <c r="M107">
        <v>157620.70000000001</v>
      </c>
      <c r="N107">
        <f t="shared" si="5"/>
        <v>0</v>
      </c>
      <c r="O107">
        <f t="shared" si="6"/>
        <v>1</v>
      </c>
      <c r="P107">
        <f t="shared" si="7"/>
        <v>0</v>
      </c>
      <c r="T107" s="18">
        <v>783797.89</v>
      </c>
      <c r="U107" s="18">
        <v>74679.350000000006</v>
      </c>
      <c r="V107" s="19">
        <v>8739</v>
      </c>
      <c r="W107" s="19">
        <v>5.6000000000000001E-2</v>
      </c>
      <c r="X107" s="19">
        <v>0</v>
      </c>
      <c r="Y107" s="19">
        <v>1</v>
      </c>
      <c r="Z107" s="19">
        <v>0</v>
      </c>
    </row>
    <row r="108" spans="1:26">
      <c r="A108" s="2">
        <v>45717</v>
      </c>
      <c r="B108" t="s">
        <v>27</v>
      </c>
      <c r="C108" t="s">
        <v>18</v>
      </c>
      <c r="D108" s="5">
        <v>64294.23</v>
      </c>
      <c r="E108">
        <v>6992</v>
      </c>
      <c r="F108">
        <v>0.13300000000000001</v>
      </c>
      <c r="G108">
        <v>14</v>
      </c>
      <c r="H108">
        <v>94.1</v>
      </c>
      <c r="I108">
        <v>0.25</v>
      </c>
      <c r="J108">
        <v>0</v>
      </c>
      <c r="K108">
        <v>3</v>
      </c>
      <c r="L108" s="5">
        <v>795153.84</v>
      </c>
      <c r="M108">
        <v>143194.21</v>
      </c>
      <c r="N108">
        <f t="shared" si="5"/>
        <v>0</v>
      </c>
      <c r="O108">
        <f t="shared" si="6"/>
        <v>1</v>
      </c>
      <c r="P108">
        <f t="shared" si="7"/>
        <v>0</v>
      </c>
      <c r="T108" s="18">
        <v>795153.84</v>
      </c>
      <c r="U108" s="18">
        <v>64294.23</v>
      </c>
      <c r="V108" s="19">
        <v>6992</v>
      </c>
      <c r="W108" s="19">
        <v>0.13300000000000001</v>
      </c>
      <c r="X108" s="19">
        <v>0</v>
      </c>
      <c r="Y108" s="19">
        <v>1</v>
      </c>
      <c r="Z108" s="19">
        <v>0</v>
      </c>
    </row>
    <row r="109" spans="1:26">
      <c r="A109" s="2">
        <v>45748</v>
      </c>
      <c r="B109" t="s">
        <v>27</v>
      </c>
      <c r="C109" t="s">
        <v>18</v>
      </c>
      <c r="D109" s="5">
        <v>31042.03</v>
      </c>
      <c r="E109">
        <v>7107</v>
      </c>
      <c r="F109">
        <v>5.0999999999999997E-2</v>
      </c>
      <c r="G109">
        <v>15</v>
      </c>
      <c r="H109">
        <v>87</v>
      </c>
      <c r="I109">
        <v>13.33</v>
      </c>
      <c r="J109">
        <v>0</v>
      </c>
      <c r="K109">
        <v>3.2</v>
      </c>
      <c r="L109" s="5">
        <v>665594.93999999994</v>
      </c>
      <c r="M109">
        <v>127597.34</v>
      </c>
      <c r="N109">
        <f t="shared" si="5"/>
        <v>0</v>
      </c>
      <c r="O109">
        <f t="shared" si="6"/>
        <v>1</v>
      </c>
      <c r="P109">
        <f t="shared" si="7"/>
        <v>0</v>
      </c>
      <c r="T109" s="18">
        <v>665594.93999999994</v>
      </c>
      <c r="U109" s="18">
        <v>31042.03</v>
      </c>
      <c r="V109" s="19">
        <v>7107</v>
      </c>
      <c r="W109" s="19">
        <v>5.0999999999999997E-2</v>
      </c>
      <c r="X109" s="19">
        <v>0</v>
      </c>
      <c r="Y109" s="19">
        <v>1</v>
      </c>
      <c r="Z109" s="19">
        <v>0</v>
      </c>
    </row>
    <row r="110" spans="1:26">
      <c r="A110" s="2">
        <v>45658</v>
      </c>
      <c r="B110" t="s">
        <v>15</v>
      </c>
      <c r="C110" t="s">
        <v>28</v>
      </c>
      <c r="D110" s="5">
        <v>75265.02</v>
      </c>
      <c r="E110">
        <v>6975</v>
      </c>
      <c r="F110">
        <v>0.157</v>
      </c>
      <c r="G110">
        <v>20</v>
      </c>
      <c r="H110">
        <v>73.8</v>
      </c>
      <c r="I110">
        <v>6.35</v>
      </c>
      <c r="J110">
        <v>1</v>
      </c>
      <c r="K110">
        <v>3.8</v>
      </c>
      <c r="L110" s="5">
        <v>709478.39</v>
      </c>
      <c r="M110">
        <v>71294.27</v>
      </c>
      <c r="N110">
        <f t="shared" si="5"/>
        <v>1</v>
      </c>
      <c r="O110">
        <f t="shared" si="6"/>
        <v>0</v>
      </c>
      <c r="P110">
        <f t="shared" si="7"/>
        <v>0</v>
      </c>
      <c r="T110" s="18">
        <v>709478.39</v>
      </c>
      <c r="U110" s="18">
        <v>75265.02</v>
      </c>
      <c r="V110" s="19">
        <v>6975</v>
      </c>
      <c r="W110" s="19">
        <v>0.157</v>
      </c>
      <c r="X110" s="19">
        <v>1</v>
      </c>
      <c r="Y110" s="19">
        <v>0</v>
      </c>
      <c r="Z110" s="19">
        <v>0</v>
      </c>
    </row>
    <row r="111" spans="1:26">
      <c r="A111" s="2">
        <v>45689</v>
      </c>
      <c r="B111" t="s">
        <v>15</v>
      </c>
      <c r="C111" t="s">
        <v>28</v>
      </c>
      <c r="D111" s="5">
        <v>69411.7</v>
      </c>
      <c r="E111">
        <v>5493</v>
      </c>
      <c r="F111">
        <v>0.29199999999999998</v>
      </c>
      <c r="G111">
        <v>13</v>
      </c>
      <c r="H111">
        <v>86.5</v>
      </c>
      <c r="I111">
        <v>6.69</v>
      </c>
      <c r="J111">
        <v>0</v>
      </c>
      <c r="K111">
        <v>3.8</v>
      </c>
      <c r="L111" s="5">
        <v>664162.49</v>
      </c>
      <c r="M111">
        <v>98291.06</v>
      </c>
      <c r="N111">
        <f t="shared" si="5"/>
        <v>1</v>
      </c>
      <c r="O111">
        <f t="shared" si="6"/>
        <v>0</v>
      </c>
      <c r="P111">
        <f t="shared" si="7"/>
        <v>0</v>
      </c>
      <c r="T111" s="18">
        <v>664162.49</v>
      </c>
      <c r="U111" s="18">
        <v>69411.7</v>
      </c>
      <c r="V111" s="19">
        <v>5493</v>
      </c>
      <c r="W111" s="19">
        <v>0.29199999999999998</v>
      </c>
      <c r="X111" s="19">
        <v>1</v>
      </c>
      <c r="Y111" s="19">
        <v>0</v>
      </c>
      <c r="Z111" s="19">
        <v>0</v>
      </c>
    </row>
    <row r="112" spans="1:26">
      <c r="A112" s="2">
        <v>45717</v>
      </c>
      <c r="B112" t="s">
        <v>15</v>
      </c>
      <c r="C112" t="s">
        <v>28</v>
      </c>
      <c r="D112" s="5">
        <v>51056.15</v>
      </c>
      <c r="E112">
        <v>5686</v>
      </c>
      <c r="F112">
        <v>8.8999999999999996E-2</v>
      </c>
      <c r="G112">
        <v>13</v>
      </c>
      <c r="H112">
        <v>89.9</v>
      </c>
      <c r="I112">
        <v>1.28</v>
      </c>
      <c r="J112">
        <v>0</v>
      </c>
      <c r="K112">
        <v>4.2</v>
      </c>
      <c r="L112" s="5">
        <v>633494.21</v>
      </c>
      <c r="M112">
        <v>105739.47</v>
      </c>
      <c r="N112">
        <f t="shared" si="5"/>
        <v>1</v>
      </c>
      <c r="O112">
        <f t="shared" si="6"/>
        <v>0</v>
      </c>
      <c r="P112">
        <f t="shared" si="7"/>
        <v>0</v>
      </c>
      <c r="T112" s="18">
        <v>633494.21</v>
      </c>
      <c r="U112" s="18">
        <v>51056.15</v>
      </c>
      <c r="V112" s="19">
        <v>5686</v>
      </c>
      <c r="W112" s="19">
        <v>8.8999999999999996E-2</v>
      </c>
      <c r="X112" s="19">
        <v>1</v>
      </c>
      <c r="Y112" s="19">
        <v>0</v>
      </c>
      <c r="Z112" s="19">
        <v>0</v>
      </c>
    </row>
    <row r="113" spans="1:26">
      <c r="A113" s="2">
        <v>45748</v>
      </c>
      <c r="B113" t="s">
        <v>15</v>
      </c>
      <c r="C113" t="s">
        <v>28</v>
      </c>
      <c r="D113" s="5">
        <v>52758.01</v>
      </c>
      <c r="E113">
        <v>4063</v>
      </c>
      <c r="F113">
        <v>5.7000000000000002E-2</v>
      </c>
      <c r="G113">
        <v>12</v>
      </c>
      <c r="H113">
        <v>91.7</v>
      </c>
      <c r="I113">
        <v>0.92</v>
      </c>
      <c r="J113">
        <v>0</v>
      </c>
      <c r="K113">
        <v>3.5</v>
      </c>
      <c r="L113" s="5">
        <v>713611.16</v>
      </c>
      <c r="M113">
        <v>129717.18</v>
      </c>
      <c r="N113">
        <f t="shared" si="5"/>
        <v>1</v>
      </c>
      <c r="O113">
        <f t="shared" si="6"/>
        <v>0</v>
      </c>
      <c r="P113">
        <f t="shared" si="7"/>
        <v>0</v>
      </c>
      <c r="T113" s="18">
        <v>713611.16</v>
      </c>
      <c r="U113" s="18">
        <v>52758.01</v>
      </c>
      <c r="V113" s="19">
        <v>4063</v>
      </c>
      <c r="W113" s="19">
        <v>5.7000000000000002E-2</v>
      </c>
      <c r="X113" s="19">
        <v>1</v>
      </c>
      <c r="Y113" s="19">
        <v>0</v>
      </c>
      <c r="Z113" s="19">
        <v>0</v>
      </c>
    </row>
    <row r="114" spans="1:26">
      <c r="A114" s="2">
        <v>45658</v>
      </c>
      <c r="B114" t="s">
        <v>27</v>
      </c>
      <c r="C114" t="s">
        <v>28</v>
      </c>
      <c r="D114" s="5">
        <v>61426.04</v>
      </c>
      <c r="E114">
        <v>8966</v>
      </c>
      <c r="F114">
        <v>0.17299999999999999</v>
      </c>
      <c r="G114">
        <v>22</v>
      </c>
      <c r="H114">
        <v>76.400000000000006</v>
      </c>
      <c r="I114">
        <v>1.05</v>
      </c>
      <c r="J114">
        <v>0</v>
      </c>
      <c r="K114">
        <v>3.1</v>
      </c>
      <c r="L114" s="5">
        <v>778397.97</v>
      </c>
      <c r="M114">
        <v>120044.41</v>
      </c>
      <c r="N114">
        <f t="shared" si="5"/>
        <v>1</v>
      </c>
      <c r="O114">
        <f t="shared" si="6"/>
        <v>0</v>
      </c>
      <c r="P114">
        <f t="shared" si="7"/>
        <v>0</v>
      </c>
      <c r="T114" s="18">
        <v>778397.97</v>
      </c>
      <c r="U114" s="18">
        <v>61426.04</v>
      </c>
      <c r="V114" s="19">
        <v>8966</v>
      </c>
      <c r="W114" s="19">
        <v>0.17299999999999999</v>
      </c>
      <c r="X114" s="19">
        <v>1</v>
      </c>
      <c r="Y114" s="19">
        <v>0</v>
      </c>
      <c r="Z114" s="19">
        <v>0</v>
      </c>
    </row>
    <row r="115" spans="1:26">
      <c r="A115" s="2">
        <v>45689</v>
      </c>
      <c r="B115" t="s">
        <v>27</v>
      </c>
      <c r="C115" t="s">
        <v>28</v>
      </c>
      <c r="D115" s="5">
        <v>80176.34</v>
      </c>
      <c r="E115">
        <v>9489</v>
      </c>
      <c r="F115">
        <v>0.14199999999999999</v>
      </c>
      <c r="G115">
        <v>22</v>
      </c>
      <c r="H115">
        <v>94.3</v>
      </c>
      <c r="I115">
        <v>2.67</v>
      </c>
      <c r="J115">
        <v>0</v>
      </c>
      <c r="K115">
        <v>3.5</v>
      </c>
      <c r="L115" s="5">
        <v>873380.02</v>
      </c>
      <c r="M115">
        <v>149734.76</v>
      </c>
      <c r="N115">
        <f t="shared" si="5"/>
        <v>1</v>
      </c>
      <c r="O115">
        <f t="shared" si="6"/>
        <v>0</v>
      </c>
      <c r="P115">
        <f t="shared" si="7"/>
        <v>0</v>
      </c>
      <c r="T115" s="18">
        <v>873380.02</v>
      </c>
      <c r="U115" s="18">
        <v>80176.34</v>
      </c>
      <c r="V115" s="19">
        <v>9489</v>
      </c>
      <c r="W115" s="19">
        <v>0.14199999999999999</v>
      </c>
      <c r="X115" s="19">
        <v>1</v>
      </c>
      <c r="Y115" s="19">
        <v>0</v>
      </c>
      <c r="Z115" s="19">
        <v>0</v>
      </c>
    </row>
    <row r="116" spans="1:26">
      <c r="A116" s="2">
        <v>45717</v>
      </c>
      <c r="B116" t="s">
        <v>27</v>
      </c>
      <c r="C116" t="s">
        <v>28</v>
      </c>
      <c r="D116" s="5">
        <v>33605.18</v>
      </c>
      <c r="E116">
        <v>9225</v>
      </c>
      <c r="F116">
        <v>0.159</v>
      </c>
      <c r="G116">
        <v>23</v>
      </c>
      <c r="H116">
        <v>88.4</v>
      </c>
      <c r="I116">
        <v>5.91</v>
      </c>
      <c r="J116">
        <v>0</v>
      </c>
      <c r="K116">
        <v>2.8</v>
      </c>
      <c r="L116" s="5">
        <v>697287.9</v>
      </c>
      <c r="M116">
        <v>128208.33</v>
      </c>
      <c r="N116">
        <f t="shared" si="5"/>
        <v>1</v>
      </c>
      <c r="O116">
        <f t="shared" si="6"/>
        <v>0</v>
      </c>
      <c r="P116">
        <f t="shared" si="7"/>
        <v>0</v>
      </c>
      <c r="T116" s="18">
        <v>697287.9</v>
      </c>
      <c r="U116" s="18">
        <v>33605.18</v>
      </c>
      <c r="V116" s="19">
        <v>9225</v>
      </c>
      <c r="W116" s="19">
        <v>0.159</v>
      </c>
      <c r="X116" s="19">
        <v>1</v>
      </c>
      <c r="Y116" s="19">
        <v>0</v>
      </c>
      <c r="Z116" s="19">
        <v>0</v>
      </c>
    </row>
    <row r="117" spans="1:26">
      <c r="A117" s="2">
        <v>45748</v>
      </c>
      <c r="B117" t="s">
        <v>27</v>
      </c>
      <c r="C117" t="s">
        <v>28</v>
      </c>
      <c r="D117" s="5">
        <v>25990.54</v>
      </c>
      <c r="E117">
        <v>9249</v>
      </c>
      <c r="F117">
        <v>0.13900000000000001</v>
      </c>
      <c r="G117">
        <v>23</v>
      </c>
      <c r="H117">
        <v>92.5</v>
      </c>
      <c r="I117">
        <v>6.37</v>
      </c>
      <c r="J117">
        <v>0</v>
      </c>
      <c r="K117">
        <v>3.3</v>
      </c>
      <c r="L117" s="5">
        <v>718074.79</v>
      </c>
      <c r="M117">
        <v>115819.87</v>
      </c>
      <c r="N117">
        <f t="shared" si="5"/>
        <v>1</v>
      </c>
      <c r="O117">
        <f t="shared" si="6"/>
        <v>0</v>
      </c>
      <c r="P117">
        <f t="shared" si="7"/>
        <v>0</v>
      </c>
      <c r="T117" s="18">
        <v>718074.79</v>
      </c>
      <c r="U117" s="18">
        <v>25990.54</v>
      </c>
      <c r="V117" s="19">
        <v>9249</v>
      </c>
      <c r="W117" s="19">
        <v>0.13900000000000001</v>
      </c>
      <c r="X117" s="19">
        <v>1</v>
      </c>
      <c r="Y117" s="19">
        <v>0</v>
      </c>
      <c r="Z117" s="19">
        <v>0</v>
      </c>
    </row>
    <row r="118" spans="1:26">
      <c r="A118" s="2">
        <v>45658</v>
      </c>
      <c r="B118" t="s">
        <v>27</v>
      </c>
      <c r="C118" t="s">
        <v>16</v>
      </c>
      <c r="D118" s="5">
        <v>43685.14</v>
      </c>
      <c r="E118">
        <v>7821</v>
      </c>
      <c r="F118">
        <v>0.19</v>
      </c>
      <c r="G118">
        <v>17</v>
      </c>
      <c r="H118">
        <v>91</v>
      </c>
      <c r="I118">
        <v>2.4900000000000002</v>
      </c>
      <c r="J118">
        <v>1</v>
      </c>
      <c r="K118">
        <v>4.7</v>
      </c>
      <c r="L118" s="5">
        <v>714942.43</v>
      </c>
      <c r="M118">
        <v>94697.71</v>
      </c>
      <c r="N118">
        <f t="shared" si="5"/>
        <v>0</v>
      </c>
      <c r="O118">
        <f t="shared" si="6"/>
        <v>0</v>
      </c>
      <c r="P118">
        <f t="shared" si="7"/>
        <v>0</v>
      </c>
      <c r="T118" s="18">
        <v>714942.43</v>
      </c>
      <c r="U118" s="18">
        <v>43685.14</v>
      </c>
      <c r="V118" s="19">
        <v>7821</v>
      </c>
      <c r="W118" s="19">
        <v>0.19</v>
      </c>
      <c r="X118" s="19">
        <v>0</v>
      </c>
      <c r="Y118" s="19">
        <v>0</v>
      </c>
      <c r="Z118" s="19">
        <v>0</v>
      </c>
    </row>
    <row r="119" spans="1:26">
      <c r="A119" s="2">
        <v>45689</v>
      </c>
      <c r="B119" t="s">
        <v>27</v>
      </c>
      <c r="C119" t="s">
        <v>16</v>
      </c>
      <c r="D119" s="5">
        <v>57360.01</v>
      </c>
      <c r="E119">
        <v>8434</v>
      </c>
      <c r="F119">
        <v>0.151</v>
      </c>
      <c r="G119">
        <v>19</v>
      </c>
      <c r="H119">
        <v>84.1</v>
      </c>
      <c r="I119">
        <v>1.56</v>
      </c>
      <c r="J119">
        <v>0</v>
      </c>
      <c r="K119">
        <v>4.7</v>
      </c>
      <c r="L119" s="5">
        <v>820519.04</v>
      </c>
      <c r="M119">
        <v>99035.88</v>
      </c>
      <c r="N119">
        <f t="shared" si="5"/>
        <v>0</v>
      </c>
      <c r="O119">
        <f t="shared" si="6"/>
        <v>0</v>
      </c>
      <c r="P119">
        <f t="shared" si="7"/>
        <v>0</v>
      </c>
      <c r="T119" s="18">
        <v>820519.04</v>
      </c>
      <c r="U119" s="18">
        <v>57360.01</v>
      </c>
      <c r="V119" s="19">
        <v>8434</v>
      </c>
      <c r="W119" s="19">
        <v>0.151</v>
      </c>
      <c r="X119" s="19">
        <v>0</v>
      </c>
      <c r="Y119" s="19">
        <v>0</v>
      </c>
      <c r="Z119" s="19">
        <v>0</v>
      </c>
    </row>
    <row r="120" spans="1:26">
      <c r="A120" s="2">
        <v>45717</v>
      </c>
      <c r="B120" t="s">
        <v>27</v>
      </c>
      <c r="C120" t="s">
        <v>16</v>
      </c>
      <c r="D120" s="5">
        <v>42415.47</v>
      </c>
      <c r="E120">
        <v>8512</v>
      </c>
      <c r="F120">
        <v>0.13300000000000001</v>
      </c>
      <c r="G120">
        <v>18</v>
      </c>
      <c r="H120">
        <v>96.8</v>
      </c>
      <c r="I120">
        <v>14.95</v>
      </c>
      <c r="J120">
        <v>0</v>
      </c>
      <c r="K120">
        <v>4.5999999999999996</v>
      </c>
      <c r="L120" s="5">
        <v>684217.32</v>
      </c>
      <c r="M120">
        <v>136217.19</v>
      </c>
      <c r="N120">
        <f t="shared" si="5"/>
        <v>0</v>
      </c>
      <c r="O120">
        <f t="shared" si="6"/>
        <v>0</v>
      </c>
      <c r="P120">
        <f t="shared" si="7"/>
        <v>0</v>
      </c>
      <c r="T120" s="18">
        <v>684217.32</v>
      </c>
      <c r="U120" s="18">
        <v>42415.47</v>
      </c>
      <c r="V120" s="19">
        <v>8512</v>
      </c>
      <c r="W120" s="19">
        <v>0.13300000000000001</v>
      </c>
      <c r="X120" s="19">
        <v>0</v>
      </c>
      <c r="Y120" s="19">
        <v>0</v>
      </c>
      <c r="Z120" s="19">
        <v>0</v>
      </c>
    </row>
    <row r="121" spans="1:26">
      <c r="A121" s="2">
        <v>45748</v>
      </c>
      <c r="B121" t="s">
        <v>27</v>
      </c>
      <c r="C121" t="s">
        <v>16</v>
      </c>
      <c r="D121" s="5">
        <v>54968.98</v>
      </c>
      <c r="E121">
        <v>7816</v>
      </c>
      <c r="F121">
        <v>0.23200000000000001</v>
      </c>
      <c r="G121">
        <v>19</v>
      </c>
      <c r="H121">
        <v>95.7</v>
      </c>
      <c r="I121">
        <v>7.85</v>
      </c>
      <c r="J121">
        <v>0</v>
      </c>
      <c r="K121">
        <v>4.7</v>
      </c>
      <c r="L121" s="5">
        <v>735480.19</v>
      </c>
      <c r="M121">
        <v>88342.11</v>
      </c>
      <c r="N121">
        <f t="shared" si="5"/>
        <v>0</v>
      </c>
      <c r="O121">
        <f t="shared" si="6"/>
        <v>0</v>
      </c>
      <c r="P121">
        <f t="shared" si="7"/>
        <v>0</v>
      </c>
      <c r="T121" s="18">
        <v>735480.19</v>
      </c>
      <c r="U121" s="18">
        <v>54968.98</v>
      </c>
      <c r="V121" s="19">
        <v>7816</v>
      </c>
      <c r="W121" s="19">
        <v>0.23200000000000001</v>
      </c>
      <c r="X121" s="19">
        <v>0</v>
      </c>
      <c r="Y121" s="19">
        <v>0</v>
      </c>
      <c r="Z121" s="19">
        <v>0</v>
      </c>
    </row>
    <row r="122" spans="1:26">
      <c r="A122" s="2">
        <v>45658</v>
      </c>
      <c r="B122" t="s">
        <v>20</v>
      </c>
      <c r="C122" t="s">
        <v>18</v>
      </c>
      <c r="D122" s="5">
        <v>43896.13</v>
      </c>
      <c r="E122">
        <v>3853</v>
      </c>
      <c r="F122">
        <v>8.7999999999999995E-2</v>
      </c>
      <c r="G122">
        <v>13</v>
      </c>
      <c r="H122">
        <v>83</v>
      </c>
      <c r="I122">
        <v>6.8</v>
      </c>
      <c r="J122">
        <v>0</v>
      </c>
      <c r="K122">
        <v>4.4000000000000004</v>
      </c>
      <c r="L122" s="5">
        <v>509484.81</v>
      </c>
      <c r="M122">
        <v>85742.36</v>
      </c>
      <c r="N122">
        <f t="shared" si="5"/>
        <v>0</v>
      </c>
      <c r="O122">
        <f t="shared" si="6"/>
        <v>1</v>
      </c>
      <c r="P122">
        <f t="shared" si="7"/>
        <v>0</v>
      </c>
      <c r="T122" s="18">
        <v>509484.81</v>
      </c>
      <c r="U122" s="18">
        <v>43896.13</v>
      </c>
      <c r="V122" s="19">
        <v>3853</v>
      </c>
      <c r="W122" s="19">
        <v>8.7999999999999995E-2</v>
      </c>
      <c r="X122" s="19">
        <v>0</v>
      </c>
      <c r="Y122" s="19">
        <v>1</v>
      </c>
      <c r="Z122" s="19">
        <v>0</v>
      </c>
    </row>
    <row r="123" spans="1:26">
      <c r="A123" s="2">
        <v>45689</v>
      </c>
      <c r="B123" t="s">
        <v>20</v>
      </c>
      <c r="C123" t="s">
        <v>18</v>
      </c>
      <c r="D123" s="5">
        <v>83044.17</v>
      </c>
      <c r="E123">
        <v>3694</v>
      </c>
      <c r="F123">
        <v>0</v>
      </c>
      <c r="G123">
        <v>14</v>
      </c>
      <c r="H123">
        <v>89.4</v>
      </c>
      <c r="I123">
        <v>2.2000000000000002</v>
      </c>
      <c r="J123">
        <v>0</v>
      </c>
      <c r="K123">
        <v>3.7</v>
      </c>
      <c r="L123" s="5">
        <v>654317.09</v>
      </c>
      <c r="M123">
        <v>121446.89</v>
      </c>
      <c r="N123">
        <f t="shared" si="5"/>
        <v>0</v>
      </c>
      <c r="O123">
        <f t="shared" si="6"/>
        <v>1</v>
      </c>
      <c r="P123">
        <f t="shared" si="7"/>
        <v>0</v>
      </c>
      <c r="T123" s="18">
        <v>654317.09</v>
      </c>
      <c r="U123" s="18">
        <v>83044.17</v>
      </c>
      <c r="V123" s="19">
        <v>3694</v>
      </c>
      <c r="W123" s="19">
        <v>0</v>
      </c>
      <c r="X123" s="19">
        <v>0</v>
      </c>
      <c r="Y123" s="19">
        <v>1</v>
      </c>
      <c r="Z123" s="19">
        <v>0</v>
      </c>
    </row>
    <row r="124" spans="1:26">
      <c r="A124" s="2">
        <v>45717</v>
      </c>
      <c r="B124" t="s">
        <v>20</v>
      </c>
      <c r="C124" t="s">
        <v>18</v>
      </c>
      <c r="D124" s="5">
        <v>48396.13</v>
      </c>
      <c r="E124">
        <v>4423</v>
      </c>
      <c r="F124">
        <v>6.9000000000000006E-2</v>
      </c>
      <c r="G124">
        <v>15</v>
      </c>
      <c r="H124">
        <v>85.7</v>
      </c>
      <c r="I124">
        <v>1.88</v>
      </c>
      <c r="J124">
        <v>0</v>
      </c>
      <c r="K124">
        <v>3.9</v>
      </c>
      <c r="L124" s="5">
        <v>557487.26</v>
      </c>
      <c r="M124">
        <v>76432.19</v>
      </c>
      <c r="N124">
        <f t="shared" si="5"/>
        <v>0</v>
      </c>
      <c r="O124">
        <f t="shared" si="6"/>
        <v>1</v>
      </c>
      <c r="P124">
        <f t="shared" si="7"/>
        <v>0</v>
      </c>
      <c r="T124" s="18">
        <v>557487.26</v>
      </c>
      <c r="U124" s="18">
        <v>48396.13</v>
      </c>
      <c r="V124" s="19">
        <v>4423</v>
      </c>
      <c r="W124" s="19">
        <v>6.9000000000000006E-2</v>
      </c>
      <c r="X124" s="19">
        <v>0</v>
      </c>
      <c r="Y124" s="19">
        <v>1</v>
      </c>
      <c r="Z124" s="19">
        <v>0</v>
      </c>
    </row>
    <row r="125" spans="1:26">
      <c r="A125" s="2">
        <v>45748</v>
      </c>
      <c r="B125" t="s">
        <v>20</v>
      </c>
      <c r="C125" t="s">
        <v>18</v>
      </c>
      <c r="D125" s="5">
        <v>19063.48</v>
      </c>
      <c r="E125">
        <v>1906</v>
      </c>
      <c r="F125">
        <v>0.216</v>
      </c>
      <c r="G125">
        <v>10</v>
      </c>
      <c r="H125">
        <v>97.8</v>
      </c>
      <c r="I125">
        <v>15.79</v>
      </c>
      <c r="J125">
        <v>0</v>
      </c>
      <c r="K125">
        <v>4.4000000000000004</v>
      </c>
      <c r="L125" s="5">
        <v>441275.42</v>
      </c>
      <c r="M125">
        <v>58234.87</v>
      </c>
      <c r="N125">
        <f t="shared" si="5"/>
        <v>0</v>
      </c>
      <c r="O125">
        <f t="shared" si="6"/>
        <v>1</v>
      </c>
      <c r="P125">
        <f t="shared" si="7"/>
        <v>0</v>
      </c>
      <c r="T125" s="18">
        <v>441275.42</v>
      </c>
      <c r="U125" s="18">
        <v>19063.48</v>
      </c>
      <c r="V125" s="19">
        <v>1906</v>
      </c>
      <c r="W125" s="19">
        <v>0.216</v>
      </c>
      <c r="X125" s="19">
        <v>0</v>
      </c>
      <c r="Y125" s="19">
        <v>1</v>
      </c>
      <c r="Z125" s="19">
        <v>0</v>
      </c>
    </row>
    <row r="126" spans="1:26">
      <c r="A126" s="2">
        <v>45658</v>
      </c>
      <c r="B126" t="s">
        <v>24</v>
      </c>
      <c r="C126" t="s">
        <v>18</v>
      </c>
      <c r="D126" s="5">
        <v>61541.21</v>
      </c>
      <c r="E126">
        <v>10396</v>
      </c>
      <c r="F126">
        <v>0.123</v>
      </c>
      <c r="G126">
        <v>25</v>
      </c>
      <c r="H126">
        <v>88.1</v>
      </c>
      <c r="I126">
        <v>2.34</v>
      </c>
      <c r="J126">
        <v>1</v>
      </c>
      <c r="K126">
        <v>4.8</v>
      </c>
      <c r="L126" s="5">
        <v>914544.17</v>
      </c>
      <c r="M126">
        <v>79831.73</v>
      </c>
      <c r="N126">
        <f t="shared" si="5"/>
        <v>0</v>
      </c>
      <c r="O126">
        <f t="shared" si="6"/>
        <v>1</v>
      </c>
      <c r="P126">
        <f t="shared" si="7"/>
        <v>0</v>
      </c>
      <c r="T126" s="18">
        <v>914544.17</v>
      </c>
      <c r="U126" s="18">
        <v>61541.21</v>
      </c>
      <c r="V126" s="19">
        <v>10396</v>
      </c>
      <c r="W126" s="19">
        <v>0.123</v>
      </c>
      <c r="X126" s="19">
        <v>0</v>
      </c>
      <c r="Y126" s="19">
        <v>1</v>
      </c>
      <c r="Z126" s="19">
        <v>0</v>
      </c>
    </row>
    <row r="127" spans="1:26">
      <c r="A127" s="2">
        <v>45689</v>
      </c>
      <c r="B127" t="s">
        <v>24</v>
      </c>
      <c r="C127" t="s">
        <v>18</v>
      </c>
      <c r="D127" s="5">
        <v>44747</v>
      </c>
      <c r="E127">
        <v>11076</v>
      </c>
      <c r="F127">
        <v>0.17599999999999999</v>
      </c>
      <c r="G127">
        <v>27</v>
      </c>
      <c r="H127">
        <v>98.3</v>
      </c>
      <c r="I127">
        <v>0.54</v>
      </c>
      <c r="J127">
        <v>0</v>
      </c>
      <c r="K127">
        <v>4.4000000000000004</v>
      </c>
      <c r="L127" s="5">
        <v>842439.67</v>
      </c>
      <c r="M127">
        <v>169983.63</v>
      </c>
      <c r="N127">
        <f t="shared" si="5"/>
        <v>0</v>
      </c>
      <c r="O127">
        <f t="shared" si="6"/>
        <v>1</v>
      </c>
      <c r="P127">
        <f t="shared" si="7"/>
        <v>0</v>
      </c>
      <c r="T127" s="18">
        <v>842439.67</v>
      </c>
      <c r="U127" s="18">
        <v>44747</v>
      </c>
      <c r="V127" s="19">
        <v>11076</v>
      </c>
      <c r="W127" s="19">
        <v>0.17599999999999999</v>
      </c>
      <c r="X127" s="19">
        <v>0</v>
      </c>
      <c r="Y127" s="19">
        <v>1</v>
      </c>
      <c r="Z127" s="19">
        <v>0</v>
      </c>
    </row>
    <row r="128" spans="1:26">
      <c r="A128" s="2">
        <v>45717</v>
      </c>
      <c r="B128" t="s">
        <v>24</v>
      </c>
      <c r="C128" t="s">
        <v>18</v>
      </c>
      <c r="D128" s="5">
        <v>56517.9</v>
      </c>
      <c r="E128">
        <v>9574</v>
      </c>
      <c r="F128">
        <v>0.20399999999999999</v>
      </c>
      <c r="G128">
        <v>20</v>
      </c>
      <c r="H128">
        <v>88.2</v>
      </c>
      <c r="I128">
        <v>5.37</v>
      </c>
      <c r="J128">
        <v>1</v>
      </c>
      <c r="K128">
        <v>4.9000000000000004</v>
      </c>
      <c r="L128" s="5">
        <v>842157.92</v>
      </c>
      <c r="M128">
        <v>107348.22</v>
      </c>
      <c r="N128">
        <f t="shared" si="5"/>
        <v>0</v>
      </c>
      <c r="O128">
        <f t="shared" si="6"/>
        <v>1</v>
      </c>
      <c r="P128">
        <f t="shared" si="7"/>
        <v>0</v>
      </c>
      <c r="T128" s="18">
        <v>842157.92</v>
      </c>
      <c r="U128" s="18">
        <v>56517.9</v>
      </c>
      <c r="V128" s="19">
        <v>9574</v>
      </c>
      <c r="W128" s="19">
        <v>0.20399999999999999</v>
      </c>
      <c r="X128" s="19">
        <v>0</v>
      </c>
      <c r="Y128" s="19">
        <v>1</v>
      </c>
      <c r="Z128" s="19">
        <v>0</v>
      </c>
    </row>
    <row r="129" spans="1:26">
      <c r="A129" s="2">
        <v>45748</v>
      </c>
      <c r="B129" t="s">
        <v>24</v>
      </c>
      <c r="C129" t="s">
        <v>18</v>
      </c>
      <c r="D129" s="5">
        <v>37828.5</v>
      </c>
      <c r="E129">
        <v>8221</v>
      </c>
      <c r="F129">
        <v>9.6000000000000002E-2</v>
      </c>
      <c r="G129">
        <v>19</v>
      </c>
      <c r="H129">
        <v>81.5</v>
      </c>
      <c r="I129">
        <v>3.19</v>
      </c>
      <c r="J129">
        <v>0</v>
      </c>
      <c r="K129">
        <v>4.8</v>
      </c>
      <c r="L129" s="5">
        <v>697155.3</v>
      </c>
      <c r="M129">
        <v>136408.54</v>
      </c>
      <c r="N129">
        <f t="shared" si="5"/>
        <v>0</v>
      </c>
      <c r="O129">
        <f t="shared" si="6"/>
        <v>1</v>
      </c>
      <c r="P129">
        <f t="shared" si="7"/>
        <v>0</v>
      </c>
      <c r="T129" s="18">
        <v>697155.3</v>
      </c>
      <c r="U129" s="18">
        <v>37828.5</v>
      </c>
      <c r="V129" s="19">
        <v>8221</v>
      </c>
      <c r="W129" s="19">
        <v>9.6000000000000002E-2</v>
      </c>
      <c r="X129" s="19">
        <v>0</v>
      </c>
      <c r="Y129" s="19">
        <v>1</v>
      </c>
      <c r="Z129" s="19">
        <v>0</v>
      </c>
    </row>
    <row r="130" spans="1:26">
      <c r="A130" s="2">
        <v>45658</v>
      </c>
      <c r="B130" t="s">
        <v>15</v>
      </c>
      <c r="C130" t="s">
        <v>18</v>
      </c>
      <c r="D130" s="5">
        <v>66250.53</v>
      </c>
      <c r="E130">
        <v>10618</v>
      </c>
      <c r="F130">
        <v>0.14199999999999999</v>
      </c>
      <c r="G130">
        <v>27</v>
      </c>
      <c r="H130">
        <v>88.3</v>
      </c>
      <c r="I130">
        <v>1.1000000000000001</v>
      </c>
      <c r="J130">
        <v>1</v>
      </c>
      <c r="K130">
        <v>4.4000000000000004</v>
      </c>
      <c r="L130" s="5">
        <v>849018.3</v>
      </c>
      <c r="M130">
        <v>149035.13</v>
      </c>
      <c r="N130">
        <f t="shared" si="5"/>
        <v>0</v>
      </c>
      <c r="O130">
        <f t="shared" si="6"/>
        <v>1</v>
      </c>
      <c r="P130">
        <f t="shared" si="7"/>
        <v>0</v>
      </c>
      <c r="T130" s="18">
        <v>849018.3</v>
      </c>
      <c r="U130" s="18">
        <v>66250.53</v>
      </c>
      <c r="V130" s="19">
        <v>10618</v>
      </c>
      <c r="W130" s="19">
        <v>0.14199999999999999</v>
      </c>
      <c r="X130" s="19">
        <v>0</v>
      </c>
      <c r="Y130" s="19">
        <v>1</v>
      </c>
      <c r="Z130" s="19">
        <v>0</v>
      </c>
    </row>
    <row r="131" spans="1:26">
      <c r="A131" s="2">
        <v>45689</v>
      </c>
      <c r="B131" t="s">
        <v>15</v>
      </c>
      <c r="C131" t="s">
        <v>18</v>
      </c>
      <c r="D131" s="5">
        <v>68410.929999999993</v>
      </c>
      <c r="E131">
        <v>10596</v>
      </c>
      <c r="F131">
        <v>0.20699999999999999</v>
      </c>
      <c r="G131">
        <v>25</v>
      </c>
      <c r="H131">
        <v>81.2</v>
      </c>
      <c r="I131">
        <v>0.21</v>
      </c>
      <c r="J131">
        <v>0</v>
      </c>
      <c r="K131">
        <v>4</v>
      </c>
      <c r="L131" s="5">
        <v>801830.35</v>
      </c>
      <c r="M131">
        <v>114875.32</v>
      </c>
      <c r="N131">
        <f t="shared" ref="N131:N194" si="8">IF(C131="Mall", 1, 0)</f>
        <v>0</v>
      </c>
      <c r="O131">
        <f t="shared" si="6"/>
        <v>1</v>
      </c>
      <c r="P131">
        <f t="shared" si="7"/>
        <v>0</v>
      </c>
      <c r="T131" s="18">
        <v>801830.35</v>
      </c>
      <c r="U131" s="18">
        <v>68410.929999999993</v>
      </c>
      <c r="V131" s="19">
        <v>10596</v>
      </c>
      <c r="W131" s="19">
        <v>0.20699999999999999</v>
      </c>
      <c r="X131" s="19">
        <v>0</v>
      </c>
      <c r="Y131" s="19">
        <v>1</v>
      </c>
      <c r="Z131" s="19">
        <v>0</v>
      </c>
    </row>
    <row r="132" spans="1:26">
      <c r="A132" s="2">
        <v>45717</v>
      </c>
      <c r="B132" t="s">
        <v>15</v>
      </c>
      <c r="C132" t="s">
        <v>18</v>
      </c>
      <c r="D132" s="5">
        <v>50735.63</v>
      </c>
      <c r="E132">
        <v>9619</v>
      </c>
      <c r="F132">
        <v>0.14399999999999999</v>
      </c>
      <c r="G132">
        <v>19</v>
      </c>
      <c r="H132">
        <v>93.8</v>
      </c>
      <c r="I132">
        <v>5.12</v>
      </c>
      <c r="J132">
        <v>1</v>
      </c>
      <c r="K132">
        <v>4.5</v>
      </c>
      <c r="L132" s="5">
        <v>725235.28</v>
      </c>
      <c r="M132">
        <v>121632.24</v>
      </c>
      <c r="N132">
        <f t="shared" si="8"/>
        <v>0</v>
      </c>
      <c r="O132">
        <f t="shared" si="6"/>
        <v>1</v>
      </c>
      <c r="P132">
        <f t="shared" si="7"/>
        <v>0</v>
      </c>
      <c r="T132" s="18">
        <v>725235.28</v>
      </c>
      <c r="U132" s="18">
        <v>50735.63</v>
      </c>
      <c r="V132" s="19">
        <v>9619</v>
      </c>
      <c r="W132" s="19">
        <v>0.14399999999999999</v>
      </c>
      <c r="X132" s="19">
        <v>0</v>
      </c>
      <c r="Y132" s="19">
        <v>1</v>
      </c>
      <c r="Z132" s="19">
        <v>0</v>
      </c>
    </row>
    <row r="133" spans="1:26">
      <c r="A133" s="2">
        <v>45748</v>
      </c>
      <c r="B133" t="s">
        <v>15</v>
      </c>
      <c r="C133" t="s">
        <v>18</v>
      </c>
      <c r="D133" s="5">
        <v>66455.8</v>
      </c>
      <c r="E133">
        <v>10836</v>
      </c>
      <c r="F133">
        <v>8.8999999999999996E-2</v>
      </c>
      <c r="G133">
        <v>25</v>
      </c>
      <c r="H133">
        <v>85</v>
      </c>
      <c r="I133">
        <v>9.77</v>
      </c>
      <c r="J133">
        <v>0</v>
      </c>
      <c r="K133">
        <v>4.5</v>
      </c>
      <c r="L133" s="5">
        <v>811452.72</v>
      </c>
      <c r="M133">
        <v>131325.67000000001</v>
      </c>
      <c r="N133">
        <f t="shared" si="8"/>
        <v>0</v>
      </c>
      <c r="O133">
        <f t="shared" si="6"/>
        <v>1</v>
      </c>
      <c r="P133">
        <f t="shared" si="7"/>
        <v>0</v>
      </c>
      <c r="T133" s="18">
        <v>811452.72</v>
      </c>
      <c r="U133" s="18">
        <v>66455.8</v>
      </c>
      <c r="V133" s="19">
        <v>10836</v>
      </c>
      <c r="W133" s="19">
        <v>8.8999999999999996E-2</v>
      </c>
      <c r="X133" s="19">
        <v>0</v>
      </c>
      <c r="Y133" s="19">
        <v>1</v>
      </c>
      <c r="Z133" s="19">
        <v>0</v>
      </c>
    </row>
    <row r="134" spans="1:26">
      <c r="A134" s="2">
        <v>45658</v>
      </c>
      <c r="B134" t="s">
        <v>20</v>
      </c>
      <c r="C134" t="s">
        <v>18</v>
      </c>
      <c r="D134" s="5">
        <v>70276.28</v>
      </c>
      <c r="E134">
        <v>3043</v>
      </c>
      <c r="F134">
        <v>7.9000000000000001E-2</v>
      </c>
      <c r="G134">
        <v>9</v>
      </c>
      <c r="H134">
        <v>87.9</v>
      </c>
      <c r="I134">
        <v>3.77</v>
      </c>
      <c r="J134">
        <v>0</v>
      </c>
      <c r="K134">
        <v>4.4000000000000004</v>
      </c>
      <c r="L134" s="5">
        <v>527300.13</v>
      </c>
      <c r="M134">
        <v>84197.87</v>
      </c>
      <c r="N134">
        <f t="shared" si="8"/>
        <v>0</v>
      </c>
      <c r="O134">
        <f t="shared" si="6"/>
        <v>1</v>
      </c>
      <c r="P134">
        <f t="shared" si="7"/>
        <v>0</v>
      </c>
      <c r="T134" s="18">
        <v>527300.13</v>
      </c>
      <c r="U134" s="18">
        <v>70276.28</v>
      </c>
      <c r="V134" s="19">
        <v>3043</v>
      </c>
      <c r="W134" s="19">
        <v>7.9000000000000001E-2</v>
      </c>
      <c r="X134" s="19">
        <v>0</v>
      </c>
      <c r="Y134" s="19">
        <v>1</v>
      </c>
      <c r="Z134" s="19">
        <v>0</v>
      </c>
    </row>
    <row r="135" spans="1:26">
      <c r="A135" s="2">
        <v>45689</v>
      </c>
      <c r="B135" t="s">
        <v>20</v>
      </c>
      <c r="C135" t="s">
        <v>18</v>
      </c>
      <c r="D135" s="5">
        <v>22071.64</v>
      </c>
      <c r="E135">
        <v>1814</v>
      </c>
      <c r="F135">
        <v>0.19600000000000001</v>
      </c>
      <c r="G135">
        <v>8</v>
      </c>
      <c r="H135">
        <v>81.099999999999994</v>
      </c>
      <c r="I135">
        <v>0.78</v>
      </c>
      <c r="J135">
        <v>0</v>
      </c>
      <c r="L135" s="5">
        <v>400831.65</v>
      </c>
      <c r="M135">
        <v>70979.31</v>
      </c>
      <c r="N135">
        <f t="shared" si="8"/>
        <v>0</v>
      </c>
      <c r="O135">
        <f t="shared" si="6"/>
        <v>1</v>
      </c>
      <c r="P135">
        <f t="shared" si="7"/>
        <v>0</v>
      </c>
      <c r="T135" s="18">
        <v>400831.65</v>
      </c>
      <c r="U135" s="18">
        <v>22071.64</v>
      </c>
      <c r="V135" s="19">
        <v>1814</v>
      </c>
      <c r="W135" s="19">
        <v>0.19600000000000001</v>
      </c>
      <c r="X135" s="19">
        <v>0</v>
      </c>
      <c r="Y135" s="19">
        <v>1</v>
      </c>
      <c r="Z135" s="19">
        <v>0</v>
      </c>
    </row>
    <row r="136" spans="1:26">
      <c r="A136" s="2">
        <v>45717</v>
      </c>
      <c r="B136" t="s">
        <v>20</v>
      </c>
      <c r="C136" t="s">
        <v>18</v>
      </c>
      <c r="D136" s="5">
        <v>52285.45</v>
      </c>
      <c r="E136">
        <v>3618</v>
      </c>
      <c r="F136">
        <v>8.5999999999999993E-2</v>
      </c>
      <c r="G136">
        <v>11</v>
      </c>
      <c r="H136">
        <v>95.6</v>
      </c>
      <c r="I136">
        <v>5.17</v>
      </c>
      <c r="J136">
        <v>1</v>
      </c>
      <c r="K136">
        <v>4.4000000000000004</v>
      </c>
      <c r="L136" s="5">
        <v>593247.25</v>
      </c>
      <c r="M136">
        <v>81240.289999999994</v>
      </c>
      <c r="N136">
        <f t="shared" si="8"/>
        <v>0</v>
      </c>
      <c r="O136">
        <f t="shared" si="6"/>
        <v>1</v>
      </c>
      <c r="P136">
        <f t="shared" si="7"/>
        <v>0</v>
      </c>
      <c r="T136" s="18">
        <v>593247.25</v>
      </c>
      <c r="U136" s="18">
        <v>52285.45</v>
      </c>
      <c r="V136" s="19">
        <v>3618</v>
      </c>
      <c r="W136" s="19">
        <v>8.5999999999999993E-2</v>
      </c>
      <c r="X136" s="19">
        <v>0</v>
      </c>
      <c r="Y136" s="19">
        <v>1</v>
      </c>
      <c r="Z136" s="19">
        <v>0</v>
      </c>
    </row>
    <row r="137" spans="1:26">
      <c r="A137" s="2">
        <v>45748</v>
      </c>
      <c r="B137" t="s">
        <v>20</v>
      </c>
      <c r="C137" t="s">
        <v>18</v>
      </c>
      <c r="D137" s="5">
        <v>70366.759999999995</v>
      </c>
      <c r="E137">
        <v>1963</v>
      </c>
      <c r="F137">
        <v>0.182</v>
      </c>
      <c r="G137">
        <v>8</v>
      </c>
      <c r="H137">
        <v>89.8</v>
      </c>
      <c r="I137">
        <v>3.2</v>
      </c>
      <c r="J137">
        <v>0</v>
      </c>
      <c r="K137">
        <v>4.5999999999999996</v>
      </c>
      <c r="L137" s="5">
        <v>529075.94999999995</v>
      </c>
      <c r="M137">
        <v>95978.83</v>
      </c>
      <c r="N137">
        <f t="shared" si="8"/>
        <v>0</v>
      </c>
      <c r="O137">
        <f t="shared" si="6"/>
        <v>1</v>
      </c>
      <c r="P137">
        <f t="shared" si="7"/>
        <v>0</v>
      </c>
      <c r="T137" s="18">
        <v>529075.94999999995</v>
      </c>
      <c r="U137" s="18">
        <v>70366.759999999995</v>
      </c>
      <c r="V137" s="19">
        <v>1963</v>
      </c>
      <c r="W137" s="19">
        <v>0.182</v>
      </c>
      <c r="X137" s="19">
        <v>0</v>
      </c>
      <c r="Y137" s="19">
        <v>1</v>
      </c>
      <c r="Z137" s="19">
        <v>0</v>
      </c>
    </row>
    <row r="138" spans="1:26">
      <c r="A138" s="2">
        <v>45658</v>
      </c>
      <c r="B138" t="s">
        <v>24</v>
      </c>
      <c r="C138" t="s">
        <v>16</v>
      </c>
      <c r="D138" s="5">
        <v>71320.66</v>
      </c>
      <c r="E138">
        <v>7888</v>
      </c>
      <c r="F138">
        <v>4.8000000000000001E-2</v>
      </c>
      <c r="G138">
        <v>20</v>
      </c>
      <c r="H138">
        <v>78.099999999999994</v>
      </c>
      <c r="I138">
        <v>3.4</v>
      </c>
      <c r="J138">
        <v>0</v>
      </c>
      <c r="L138" s="5">
        <v>633638.03</v>
      </c>
      <c r="M138">
        <v>99402.01</v>
      </c>
      <c r="N138">
        <f t="shared" si="8"/>
        <v>0</v>
      </c>
      <c r="O138">
        <f t="shared" si="6"/>
        <v>0</v>
      </c>
      <c r="P138">
        <f t="shared" si="7"/>
        <v>0</v>
      </c>
      <c r="T138" s="18">
        <v>633638.03</v>
      </c>
      <c r="U138" s="18">
        <v>71320.66</v>
      </c>
      <c r="V138" s="19">
        <v>7888</v>
      </c>
      <c r="W138" s="19">
        <v>4.8000000000000001E-2</v>
      </c>
      <c r="X138" s="19">
        <v>0</v>
      </c>
      <c r="Y138" s="19">
        <v>0</v>
      </c>
      <c r="Z138" s="19">
        <v>0</v>
      </c>
    </row>
    <row r="139" spans="1:26">
      <c r="A139" s="2">
        <v>45689</v>
      </c>
      <c r="B139" t="s">
        <v>24</v>
      </c>
      <c r="C139" t="s">
        <v>16</v>
      </c>
      <c r="D139" s="5">
        <v>75109.67</v>
      </c>
      <c r="E139">
        <v>6244</v>
      </c>
      <c r="F139">
        <v>7.9000000000000001E-2</v>
      </c>
      <c r="G139">
        <v>15</v>
      </c>
      <c r="H139">
        <v>96.3</v>
      </c>
      <c r="I139">
        <v>7.38</v>
      </c>
      <c r="J139">
        <v>0</v>
      </c>
      <c r="K139">
        <v>3.7</v>
      </c>
      <c r="L139" s="5">
        <v>743348.84</v>
      </c>
      <c r="M139">
        <v>104186.09</v>
      </c>
      <c r="N139">
        <f t="shared" si="8"/>
        <v>0</v>
      </c>
      <c r="O139">
        <f t="shared" ref="O139:O202" si="9">IF(C139="High Street", 1, 0)</f>
        <v>0</v>
      </c>
      <c r="P139">
        <f t="shared" ref="P139:P202" si="10">IF(C139="airport", 1, 0)</f>
        <v>0</v>
      </c>
      <c r="T139" s="18">
        <v>743348.84</v>
      </c>
      <c r="U139" s="18">
        <v>75109.67</v>
      </c>
      <c r="V139" s="19">
        <v>6244</v>
      </c>
      <c r="W139" s="19">
        <v>7.9000000000000001E-2</v>
      </c>
      <c r="X139" s="19">
        <v>0</v>
      </c>
      <c r="Y139" s="19">
        <v>0</v>
      </c>
      <c r="Z139" s="19">
        <v>0</v>
      </c>
    </row>
    <row r="140" spans="1:26">
      <c r="A140" s="2">
        <v>45717</v>
      </c>
      <c r="B140" t="s">
        <v>24</v>
      </c>
      <c r="C140" t="s">
        <v>16</v>
      </c>
      <c r="D140" s="5">
        <v>69779</v>
      </c>
      <c r="E140">
        <v>6544</v>
      </c>
      <c r="F140">
        <v>0.152</v>
      </c>
      <c r="G140">
        <v>18</v>
      </c>
      <c r="H140">
        <v>90.2</v>
      </c>
      <c r="I140">
        <v>0.85</v>
      </c>
      <c r="J140">
        <v>1</v>
      </c>
      <c r="K140">
        <v>3.3</v>
      </c>
      <c r="L140" s="5">
        <v>758827.64</v>
      </c>
      <c r="M140">
        <v>161439.48000000001</v>
      </c>
      <c r="N140">
        <f t="shared" si="8"/>
        <v>0</v>
      </c>
      <c r="O140">
        <f t="shared" si="9"/>
        <v>0</v>
      </c>
      <c r="P140">
        <f t="shared" si="10"/>
        <v>0</v>
      </c>
      <c r="T140" s="18">
        <v>758827.64</v>
      </c>
      <c r="U140" s="18">
        <v>69779</v>
      </c>
      <c r="V140" s="19">
        <v>6544</v>
      </c>
      <c r="W140" s="19">
        <v>0.152</v>
      </c>
      <c r="X140" s="19">
        <v>0</v>
      </c>
      <c r="Y140" s="19">
        <v>0</v>
      </c>
      <c r="Z140" s="19">
        <v>0</v>
      </c>
    </row>
    <row r="141" spans="1:26">
      <c r="A141" s="2">
        <v>45748</v>
      </c>
      <c r="B141" t="s">
        <v>24</v>
      </c>
      <c r="C141" t="s">
        <v>16</v>
      </c>
      <c r="D141" s="5">
        <v>44211.95</v>
      </c>
      <c r="E141">
        <v>5465</v>
      </c>
      <c r="F141">
        <v>0.187</v>
      </c>
      <c r="G141">
        <v>12</v>
      </c>
      <c r="H141">
        <v>90</v>
      </c>
      <c r="I141">
        <v>2.89</v>
      </c>
      <c r="J141">
        <v>0</v>
      </c>
      <c r="K141">
        <v>3.6</v>
      </c>
      <c r="L141" s="5">
        <v>646559.71</v>
      </c>
      <c r="M141">
        <v>97981.75</v>
      </c>
      <c r="N141">
        <f t="shared" si="8"/>
        <v>0</v>
      </c>
      <c r="O141">
        <f t="shared" si="9"/>
        <v>0</v>
      </c>
      <c r="P141">
        <f t="shared" si="10"/>
        <v>0</v>
      </c>
      <c r="T141" s="18">
        <v>646559.71</v>
      </c>
      <c r="U141" s="18">
        <v>44211.95</v>
      </c>
      <c r="V141" s="19">
        <v>5465</v>
      </c>
      <c r="W141" s="19">
        <v>0.187</v>
      </c>
      <c r="X141" s="19">
        <v>0</v>
      </c>
      <c r="Y141" s="19">
        <v>0</v>
      </c>
      <c r="Z141" s="19">
        <v>0</v>
      </c>
    </row>
    <row r="142" spans="1:26">
      <c r="A142" s="2">
        <v>45658</v>
      </c>
      <c r="B142" t="s">
        <v>27</v>
      </c>
      <c r="C142" t="s">
        <v>18</v>
      </c>
      <c r="D142" s="5">
        <v>51430.31</v>
      </c>
      <c r="E142">
        <v>6427</v>
      </c>
      <c r="F142">
        <v>0.23400000000000001</v>
      </c>
      <c r="G142">
        <v>14</v>
      </c>
      <c r="H142">
        <v>88.8</v>
      </c>
      <c r="I142">
        <v>0.77</v>
      </c>
      <c r="J142">
        <v>0</v>
      </c>
      <c r="K142">
        <v>4.0999999999999996</v>
      </c>
      <c r="L142" s="5">
        <v>715890.53</v>
      </c>
      <c r="M142">
        <v>109032.15</v>
      </c>
      <c r="N142">
        <f t="shared" si="8"/>
        <v>0</v>
      </c>
      <c r="O142">
        <f t="shared" si="9"/>
        <v>1</v>
      </c>
      <c r="P142">
        <f t="shared" si="10"/>
        <v>0</v>
      </c>
      <c r="T142" s="18">
        <v>715890.53</v>
      </c>
      <c r="U142" s="18">
        <v>51430.31</v>
      </c>
      <c r="V142" s="19">
        <v>6427</v>
      </c>
      <c r="W142" s="19">
        <v>0.23400000000000001</v>
      </c>
      <c r="X142" s="19">
        <v>0</v>
      </c>
      <c r="Y142" s="19">
        <v>1</v>
      </c>
      <c r="Z142" s="19">
        <v>0</v>
      </c>
    </row>
    <row r="143" spans="1:26">
      <c r="A143" s="2">
        <v>45689</v>
      </c>
      <c r="B143" t="s">
        <v>27</v>
      </c>
      <c r="C143" t="s">
        <v>18</v>
      </c>
      <c r="D143" s="5">
        <v>45706.49</v>
      </c>
      <c r="E143">
        <v>6704</v>
      </c>
      <c r="F143">
        <v>3.7999999999999999E-2</v>
      </c>
      <c r="G143">
        <v>15</v>
      </c>
      <c r="H143">
        <v>94.2</v>
      </c>
      <c r="I143">
        <v>2.92</v>
      </c>
      <c r="J143">
        <v>0</v>
      </c>
      <c r="K143">
        <v>4.2</v>
      </c>
      <c r="L143" s="5">
        <v>715097.57</v>
      </c>
      <c r="M143">
        <v>151875.85999999999</v>
      </c>
      <c r="N143">
        <f t="shared" si="8"/>
        <v>0</v>
      </c>
      <c r="O143">
        <f t="shared" si="9"/>
        <v>1</v>
      </c>
      <c r="P143">
        <f t="shared" si="10"/>
        <v>0</v>
      </c>
      <c r="T143" s="18">
        <v>715097.57</v>
      </c>
      <c r="U143" s="18">
        <v>45706.49</v>
      </c>
      <c r="V143" s="19">
        <v>6704</v>
      </c>
      <c r="W143" s="19">
        <v>3.7999999999999999E-2</v>
      </c>
      <c r="X143" s="19">
        <v>0</v>
      </c>
      <c r="Y143" s="19">
        <v>1</v>
      </c>
      <c r="Z143" s="19">
        <v>0</v>
      </c>
    </row>
    <row r="144" spans="1:26">
      <c r="A144" s="2">
        <v>45717</v>
      </c>
      <c r="B144" t="s">
        <v>27</v>
      </c>
      <c r="C144" t="s">
        <v>18</v>
      </c>
      <c r="D144" s="5">
        <v>44034.6</v>
      </c>
      <c r="E144">
        <v>5645</v>
      </c>
      <c r="F144">
        <v>6.9000000000000006E-2</v>
      </c>
      <c r="G144">
        <v>18</v>
      </c>
      <c r="H144">
        <v>88.5</v>
      </c>
      <c r="I144">
        <v>3.07</v>
      </c>
      <c r="J144">
        <v>0</v>
      </c>
      <c r="K144">
        <v>3.8</v>
      </c>
      <c r="L144" s="5">
        <v>682639.28</v>
      </c>
      <c r="M144">
        <v>77557.53</v>
      </c>
      <c r="N144">
        <f t="shared" si="8"/>
        <v>0</v>
      </c>
      <c r="O144">
        <f t="shared" si="9"/>
        <v>1</v>
      </c>
      <c r="P144">
        <f t="shared" si="10"/>
        <v>0</v>
      </c>
      <c r="T144" s="18">
        <v>682639.28</v>
      </c>
      <c r="U144" s="18">
        <v>44034.6</v>
      </c>
      <c r="V144" s="19">
        <v>5645</v>
      </c>
      <c r="W144" s="19">
        <v>6.9000000000000006E-2</v>
      </c>
      <c r="X144" s="19">
        <v>0</v>
      </c>
      <c r="Y144" s="19">
        <v>1</v>
      </c>
      <c r="Z144" s="19">
        <v>0</v>
      </c>
    </row>
    <row r="145" spans="1:26">
      <c r="A145" s="2">
        <v>45748</v>
      </c>
      <c r="B145" t="s">
        <v>27</v>
      </c>
      <c r="C145" t="s">
        <v>18</v>
      </c>
      <c r="D145" s="5">
        <v>50198.12</v>
      </c>
      <c r="E145">
        <v>6089</v>
      </c>
      <c r="F145">
        <v>0.182</v>
      </c>
      <c r="G145">
        <v>19</v>
      </c>
      <c r="H145">
        <v>94</v>
      </c>
      <c r="I145">
        <v>9.6999999999999993</v>
      </c>
      <c r="J145">
        <v>0</v>
      </c>
      <c r="K145">
        <v>3.9</v>
      </c>
      <c r="L145" s="5">
        <v>695098.51</v>
      </c>
      <c r="M145">
        <v>108192.75</v>
      </c>
      <c r="N145">
        <f t="shared" si="8"/>
        <v>0</v>
      </c>
      <c r="O145">
        <f t="shared" si="9"/>
        <v>1</v>
      </c>
      <c r="P145">
        <f t="shared" si="10"/>
        <v>0</v>
      </c>
      <c r="T145" s="18">
        <v>695098.51</v>
      </c>
      <c r="U145" s="18">
        <v>50198.12</v>
      </c>
      <c r="V145" s="19">
        <v>6089</v>
      </c>
      <c r="W145" s="19">
        <v>0.182</v>
      </c>
      <c r="X145" s="19">
        <v>0</v>
      </c>
      <c r="Y145" s="19">
        <v>1</v>
      </c>
      <c r="Z145" s="19">
        <v>0</v>
      </c>
    </row>
    <row r="146" spans="1:26">
      <c r="A146" s="2">
        <v>45658</v>
      </c>
      <c r="B146" t="s">
        <v>20</v>
      </c>
      <c r="C146" t="s">
        <v>16</v>
      </c>
      <c r="D146" s="5">
        <v>70488.2</v>
      </c>
      <c r="E146">
        <v>4312</v>
      </c>
      <c r="F146">
        <v>0.16900000000000001</v>
      </c>
      <c r="G146">
        <v>12</v>
      </c>
      <c r="H146">
        <v>90.2</v>
      </c>
      <c r="I146">
        <v>3.71</v>
      </c>
      <c r="J146">
        <v>0</v>
      </c>
      <c r="K146">
        <v>3.2</v>
      </c>
      <c r="L146" s="5">
        <v>577732.56999999995</v>
      </c>
      <c r="M146">
        <v>93804.27</v>
      </c>
      <c r="N146">
        <f t="shared" si="8"/>
        <v>0</v>
      </c>
      <c r="O146">
        <f t="shared" si="9"/>
        <v>0</v>
      </c>
      <c r="P146">
        <f t="shared" si="10"/>
        <v>0</v>
      </c>
      <c r="T146" s="18">
        <v>577732.56999999995</v>
      </c>
      <c r="U146" s="18">
        <v>70488.2</v>
      </c>
      <c r="V146" s="19">
        <v>4312</v>
      </c>
      <c r="W146" s="19">
        <v>0.16900000000000001</v>
      </c>
      <c r="X146" s="19">
        <v>0</v>
      </c>
      <c r="Y146" s="19">
        <v>0</v>
      </c>
      <c r="Z146" s="19">
        <v>0</v>
      </c>
    </row>
    <row r="147" spans="1:26">
      <c r="A147" s="2">
        <v>45689</v>
      </c>
      <c r="B147" t="s">
        <v>20</v>
      </c>
      <c r="C147" t="s">
        <v>16</v>
      </c>
      <c r="D147" s="5">
        <v>50909.27</v>
      </c>
      <c r="E147">
        <v>3152</v>
      </c>
      <c r="F147">
        <v>0.06</v>
      </c>
      <c r="G147">
        <v>13</v>
      </c>
      <c r="H147">
        <v>93.7</v>
      </c>
      <c r="I147">
        <v>10.79</v>
      </c>
      <c r="J147">
        <v>0</v>
      </c>
      <c r="K147">
        <v>3.5</v>
      </c>
      <c r="L147" s="5">
        <v>537058.32999999996</v>
      </c>
      <c r="M147">
        <v>93555.71</v>
      </c>
      <c r="N147">
        <f t="shared" si="8"/>
        <v>0</v>
      </c>
      <c r="O147">
        <f t="shared" si="9"/>
        <v>0</v>
      </c>
      <c r="P147">
        <f t="shared" si="10"/>
        <v>0</v>
      </c>
      <c r="T147" s="18">
        <v>537058.32999999996</v>
      </c>
      <c r="U147" s="18">
        <v>50909.27</v>
      </c>
      <c r="V147" s="19">
        <v>3152</v>
      </c>
      <c r="W147" s="19">
        <v>0.06</v>
      </c>
      <c r="X147" s="19">
        <v>0</v>
      </c>
      <c r="Y147" s="19">
        <v>0</v>
      </c>
      <c r="Z147" s="19">
        <v>0</v>
      </c>
    </row>
    <row r="148" spans="1:26">
      <c r="A148" s="2">
        <v>45717</v>
      </c>
      <c r="B148" t="s">
        <v>20</v>
      </c>
      <c r="C148" t="s">
        <v>16</v>
      </c>
      <c r="D148" s="5">
        <v>53351.7</v>
      </c>
      <c r="E148">
        <v>4259</v>
      </c>
      <c r="F148">
        <v>0.156</v>
      </c>
      <c r="G148">
        <v>15</v>
      </c>
      <c r="H148">
        <v>93.7</v>
      </c>
      <c r="I148">
        <v>6.03</v>
      </c>
      <c r="J148">
        <v>0</v>
      </c>
      <c r="K148">
        <v>3.4</v>
      </c>
      <c r="L148" s="5">
        <v>601568.87</v>
      </c>
      <c r="M148">
        <v>91634.82</v>
      </c>
      <c r="N148">
        <f t="shared" si="8"/>
        <v>0</v>
      </c>
      <c r="O148">
        <f t="shared" si="9"/>
        <v>0</v>
      </c>
      <c r="P148">
        <f t="shared" si="10"/>
        <v>0</v>
      </c>
      <c r="T148" s="18">
        <v>601568.87</v>
      </c>
      <c r="U148" s="18">
        <v>53351.7</v>
      </c>
      <c r="V148" s="19">
        <v>4259</v>
      </c>
      <c r="W148" s="19">
        <v>0.156</v>
      </c>
      <c r="X148" s="19">
        <v>0</v>
      </c>
      <c r="Y148" s="19">
        <v>0</v>
      </c>
      <c r="Z148" s="19">
        <v>0</v>
      </c>
    </row>
    <row r="149" spans="1:26">
      <c r="A149" s="2">
        <v>45748</v>
      </c>
      <c r="B149" t="s">
        <v>20</v>
      </c>
      <c r="C149" t="s">
        <v>16</v>
      </c>
      <c r="D149" s="5">
        <v>60322.400000000001</v>
      </c>
      <c r="E149">
        <v>3350</v>
      </c>
      <c r="F149">
        <v>0.108</v>
      </c>
      <c r="G149">
        <v>12</v>
      </c>
      <c r="H149">
        <v>89.4</v>
      </c>
      <c r="I149">
        <v>4.92</v>
      </c>
      <c r="J149">
        <v>0</v>
      </c>
      <c r="K149">
        <v>3.4</v>
      </c>
      <c r="L149" s="5">
        <v>570964.84</v>
      </c>
      <c r="M149">
        <v>81331.070000000007</v>
      </c>
      <c r="N149">
        <f t="shared" si="8"/>
        <v>0</v>
      </c>
      <c r="O149">
        <f t="shared" si="9"/>
        <v>0</v>
      </c>
      <c r="P149">
        <f t="shared" si="10"/>
        <v>0</v>
      </c>
      <c r="T149" s="18">
        <v>570964.84</v>
      </c>
      <c r="U149" s="18">
        <v>60322.400000000001</v>
      </c>
      <c r="V149" s="19">
        <v>3350</v>
      </c>
      <c r="W149" s="19">
        <v>0.108</v>
      </c>
      <c r="X149" s="19">
        <v>0</v>
      </c>
      <c r="Y149" s="19">
        <v>0</v>
      </c>
      <c r="Z149" s="19">
        <v>0</v>
      </c>
    </row>
    <row r="150" spans="1:26">
      <c r="A150" s="2">
        <v>45658</v>
      </c>
      <c r="B150" t="s">
        <v>24</v>
      </c>
      <c r="C150" t="s">
        <v>28</v>
      </c>
      <c r="D150" s="5">
        <v>51575.68</v>
      </c>
      <c r="E150">
        <v>5329</v>
      </c>
      <c r="F150">
        <v>4.7E-2</v>
      </c>
      <c r="G150">
        <v>17</v>
      </c>
      <c r="H150">
        <v>88.1</v>
      </c>
      <c r="I150">
        <v>19.78</v>
      </c>
      <c r="J150">
        <v>0</v>
      </c>
      <c r="K150">
        <v>3.8</v>
      </c>
      <c r="L150" s="5">
        <v>614024.91</v>
      </c>
      <c r="M150">
        <v>84828.93</v>
      </c>
      <c r="N150">
        <f t="shared" si="8"/>
        <v>1</v>
      </c>
      <c r="O150">
        <f t="shared" si="9"/>
        <v>0</v>
      </c>
      <c r="P150">
        <f t="shared" si="10"/>
        <v>0</v>
      </c>
      <c r="T150" s="18">
        <v>614024.91</v>
      </c>
      <c r="U150" s="18">
        <v>51575.68</v>
      </c>
      <c r="V150" s="19">
        <v>5329</v>
      </c>
      <c r="W150" s="19">
        <v>4.7E-2</v>
      </c>
      <c r="X150" s="19">
        <v>1</v>
      </c>
      <c r="Y150" s="19">
        <v>0</v>
      </c>
      <c r="Z150" s="19">
        <v>0</v>
      </c>
    </row>
    <row r="151" spans="1:26">
      <c r="A151" s="2">
        <v>45689</v>
      </c>
      <c r="B151" t="s">
        <v>24</v>
      </c>
      <c r="C151" t="s">
        <v>28</v>
      </c>
      <c r="D151" s="5">
        <v>43319.94</v>
      </c>
      <c r="E151">
        <v>6551</v>
      </c>
      <c r="F151">
        <v>4.3999999999999997E-2</v>
      </c>
      <c r="G151">
        <v>13</v>
      </c>
      <c r="H151">
        <v>99</v>
      </c>
      <c r="I151">
        <v>5.45</v>
      </c>
      <c r="J151">
        <v>0</v>
      </c>
      <c r="K151">
        <v>4.0999999999999996</v>
      </c>
      <c r="L151" s="5">
        <v>712868.35</v>
      </c>
      <c r="M151">
        <v>133650.51</v>
      </c>
      <c r="N151">
        <f t="shared" si="8"/>
        <v>1</v>
      </c>
      <c r="O151">
        <f t="shared" si="9"/>
        <v>0</v>
      </c>
      <c r="P151">
        <f t="shared" si="10"/>
        <v>0</v>
      </c>
      <c r="T151" s="18">
        <v>712868.35</v>
      </c>
      <c r="U151" s="18">
        <v>43319.94</v>
      </c>
      <c r="V151" s="19">
        <v>6551</v>
      </c>
      <c r="W151" s="19">
        <v>4.3999999999999997E-2</v>
      </c>
      <c r="X151" s="19">
        <v>1</v>
      </c>
      <c r="Y151" s="19">
        <v>0</v>
      </c>
      <c r="Z151" s="19">
        <v>0</v>
      </c>
    </row>
    <row r="152" spans="1:26">
      <c r="A152" s="2">
        <v>45717</v>
      </c>
      <c r="B152" t="s">
        <v>24</v>
      </c>
      <c r="C152" t="s">
        <v>28</v>
      </c>
      <c r="D152" s="5">
        <v>47093.55</v>
      </c>
      <c r="E152">
        <v>5550</v>
      </c>
      <c r="F152">
        <v>0.1</v>
      </c>
      <c r="G152">
        <v>12</v>
      </c>
      <c r="H152">
        <v>95</v>
      </c>
      <c r="I152">
        <v>2.33</v>
      </c>
      <c r="J152">
        <v>1</v>
      </c>
      <c r="K152">
        <v>3.7</v>
      </c>
      <c r="L152" s="5">
        <v>696744.15</v>
      </c>
      <c r="M152">
        <v>152230.09</v>
      </c>
      <c r="N152">
        <f t="shared" si="8"/>
        <v>1</v>
      </c>
      <c r="O152">
        <f t="shared" si="9"/>
        <v>0</v>
      </c>
      <c r="P152">
        <f t="shared" si="10"/>
        <v>0</v>
      </c>
      <c r="T152" s="18">
        <v>696744.15</v>
      </c>
      <c r="U152" s="18">
        <v>47093.55</v>
      </c>
      <c r="V152" s="19">
        <v>5550</v>
      </c>
      <c r="W152" s="19">
        <v>0.1</v>
      </c>
      <c r="X152" s="19">
        <v>1</v>
      </c>
      <c r="Y152" s="19">
        <v>0</v>
      </c>
      <c r="Z152" s="19">
        <v>0</v>
      </c>
    </row>
    <row r="153" spans="1:26">
      <c r="A153" s="2">
        <v>45748</v>
      </c>
      <c r="B153" t="s">
        <v>24</v>
      </c>
      <c r="C153" t="s">
        <v>28</v>
      </c>
      <c r="D153" s="5">
        <v>71855.09</v>
      </c>
      <c r="E153">
        <v>5911</v>
      </c>
      <c r="F153">
        <v>0.19700000000000001</v>
      </c>
      <c r="G153">
        <v>15</v>
      </c>
      <c r="H153">
        <v>94.3</v>
      </c>
      <c r="I153">
        <v>3.55</v>
      </c>
      <c r="J153">
        <v>0</v>
      </c>
      <c r="K153">
        <v>4.0999999999999996</v>
      </c>
      <c r="L153" s="5">
        <v>725847.99</v>
      </c>
      <c r="M153">
        <v>122698.73</v>
      </c>
      <c r="N153">
        <f t="shared" si="8"/>
        <v>1</v>
      </c>
      <c r="O153">
        <f t="shared" si="9"/>
        <v>0</v>
      </c>
      <c r="P153">
        <f t="shared" si="10"/>
        <v>0</v>
      </c>
      <c r="T153" s="18">
        <v>725847.99</v>
      </c>
      <c r="U153" s="18">
        <v>71855.09</v>
      </c>
      <c r="V153" s="19">
        <v>5911</v>
      </c>
      <c r="W153" s="19">
        <v>0.19700000000000001</v>
      </c>
      <c r="X153" s="19">
        <v>1</v>
      </c>
      <c r="Y153" s="19">
        <v>0</v>
      </c>
      <c r="Z153" s="19">
        <v>0</v>
      </c>
    </row>
    <row r="154" spans="1:26">
      <c r="A154" s="2">
        <v>45658</v>
      </c>
      <c r="B154" t="s">
        <v>15</v>
      </c>
      <c r="C154" t="s">
        <v>18</v>
      </c>
      <c r="D154" s="5">
        <v>75645.23</v>
      </c>
      <c r="E154">
        <v>9674</v>
      </c>
      <c r="F154">
        <v>0.23400000000000001</v>
      </c>
      <c r="G154">
        <v>21</v>
      </c>
      <c r="H154">
        <v>87.4</v>
      </c>
      <c r="I154">
        <v>0.2</v>
      </c>
      <c r="J154">
        <v>0</v>
      </c>
      <c r="K154">
        <v>4.5</v>
      </c>
      <c r="L154" s="5">
        <v>785028.25</v>
      </c>
      <c r="M154">
        <v>110726.44</v>
      </c>
      <c r="N154">
        <f t="shared" si="8"/>
        <v>0</v>
      </c>
      <c r="O154">
        <f t="shared" si="9"/>
        <v>1</v>
      </c>
      <c r="P154">
        <f t="shared" si="10"/>
        <v>0</v>
      </c>
      <c r="T154" s="18">
        <v>785028.25</v>
      </c>
      <c r="U154" s="18">
        <v>75645.23</v>
      </c>
      <c r="V154" s="19">
        <v>9674</v>
      </c>
      <c r="W154" s="19">
        <v>0.23400000000000001</v>
      </c>
      <c r="X154" s="19">
        <v>0</v>
      </c>
      <c r="Y154" s="19">
        <v>1</v>
      </c>
      <c r="Z154" s="19">
        <v>0</v>
      </c>
    </row>
    <row r="155" spans="1:26">
      <c r="A155" s="2">
        <v>45689</v>
      </c>
      <c r="B155" t="s">
        <v>15</v>
      </c>
      <c r="C155" t="s">
        <v>18</v>
      </c>
      <c r="D155" s="5">
        <v>64374.75</v>
      </c>
      <c r="E155">
        <v>6740</v>
      </c>
      <c r="F155">
        <v>0.16900000000000001</v>
      </c>
      <c r="G155">
        <v>18</v>
      </c>
      <c r="H155">
        <v>87</v>
      </c>
      <c r="I155">
        <v>2.09</v>
      </c>
      <c r="J155">
        <v>0</v>
      </c>
      <c r="K155">
        <v>4.2</v>
      </c>
      <c r="L155" s="5">
        <v>698492.67</v>
      </c>
      <c r="M155">
        <v>117319.32</v>
      </c>
      <c r="N155">
        <f t="shared" si="8"/>
        <v>0</v>
      </c>
      <c r="O155">
        <f t="shared" si="9"/>
        <v>1</v>
      </c>
      <c r="P155">
        <f t="shared" si="10"/>
        <v>0</v>
      </c>
      <c r="T155" s="18">
        <v>698492.67</v>
      </c>
      <c r="U155" s="18">
        <v>64374.75</v>
      </c>
      <c r="V155" s="19">
        <v>6740</v>
      </c>
      <c r="W155" s="19">
        <v>0.16900000000000001</v>
      </c>
      <c r="X155" s="19">
        <v>0</v>
      </c>
      <c r="Y155" s="19">
        <v>1</v>
      </c>
      <c r="Z155" s="19">
        <v>0</v>
      </c>
    </row>
    <row r="156" spans="1:26">
      <c r="A156" s="2">
        <v>45717</v>
      </c>
      <c r="B156" t="s">
        <v>15</v>
      </c>
      <c r="C156" t="s">
        <v>18</v>
      </c>
      <c r="D156" s="5">
        <v>61433.84</v>
      </c>
      <c r="E156">
        <v>7745</v>
      </c>
      <c r="F156">
        <v>0.18</v>
      </c>
      <c r="G156">
        <v>16</v>
      </c>
      <c r="H156">
        <v>90.5</v>
      </c>
      <c r="I156">
        <v>2.2599999999999998</v>
      </c>
      <c r="J156">
        <v>0</v>
      </c>
      <c r="K156">
        <v>4.2</v>
      </c>
      <c r="L156" s="5">
        <v>685830.24</v>
      </c>
      <c r="M156">
        <v>128736.18</v>
      </c>
      <c r="N156">
        <f t="shared" si="8"/>
        <v>0</v>
      </c>
      <c r="O156">
        <f t="shared" si="9"/>
        <v>1</v>
      </c>
      <c r="P156">
        <f t="shared" si="10"/>
        <v>0</v>
      </c>
      <c r="T156" s="18">
        <v>685830.24</v>
      </c>
      <c r="U156" s="18">
        <v>61433.84</v>
      </c>
      <c r="V156" s="19">
        <v>7745</v>
      </c>
      <c r="W156" s="19">
        <v>0.18</v>
      </c>
      <c r="X156" s="19">
        <v>0</v>
      </c>
      <c r="Y156" s="19">
        <v>1</v>
      </c>
      <c r="Z156" s="19">
        <v>0</v>
      </c>
    </row>
    <row r="157" spans="1:26">
      <c r="A157" s="2">
        <v>45748</v>
      </c>
      <c r="B157" t="s">
        <v>15</v>
      </c>
      <c r="C157" t="s">
        <v>18</v>
      </c>
      <c r="D157" s="5">
        <v>42698.14</v>
      </c>
      <c r="E157">
        <v>7693</v>
      </c>
      <c r="F157">
        <v>0.187</v>
      </c>
      <c r="G157">
        <v>19</v>
      </c>
      <c r="H157">
        <v>90.1</v>
      </c>
      <c r="I157">
        <v>0.44</v>
      </c>
      <c r="J157">
        <v>0</v>
      </c>
      <c r="K157">
        <v>4.4000000000000004</v>
      </c>
      <c r="L157" s="5">
        <v>702318.94</v>
      </c>
      <c r="M157">
        <v>112829.29</v>
      </c>
      <c r="N157">
        <f t="shared" si="8"/>
        <v>0</v>
      </c>
      <c r="O157">
        <f t="shared" si="9"/>
        <v>1</v>
      </c>
      <c r="P157">
        <f t="shared" si="10"/>
        <v>0</v>
      </c>
      <c r="T157" s="18">
        <v>702318.94</v>
      </c>
      <c r="U157" s="18">
        <v>42698.14</v>
      </c>
      <c r="V157" s="19">
        <v>7693</v>
      </c>
      <c r="W157" s="19">
        <v>0.187</v>
      </c>
      <c r="X157" s="19">
        <v>0</v>
      </c>
      <c r="Y157" s="19">
        <v>1</v>
      </c>
      <c r="Z157" s="19">
        <v>0</v>
      </c>
    </row>
    <row r="158" spans="1:26">
      <c r="A158" s="2">
        <v>45658</v>
      </c>
      <c r="B158" t="s">
        <v>20</v>
      </c>
      <c r="C158" t="s">
        <v>28</v>
      </c>
      <c r="D158" s="5">
        <v>86883.31</v>
      </c>
      <c r="E158">
        <v>6424</v>
      </c>
      <c r="F158">
        <v>5.7000000000000002E-2</v>
      </c>
      <c r="G158">
        <v>19</v>
      </c>
      <c r="H158">
        <v>85.2</v>
      </c>
      <c r="I158">
        <v>3.08</v>
      </c>
      <c r="J158">
        <v>0</v>
      </c>
      <c r="K158">
        <v>3.9</v>
      </c>
      <c r="L158" s="5">
        <v>700078.32</v>
      </c>
      <c r="M158">
        <v>123707.58</v>
      </c>
      <c r="N158">
        <f t="shared" si="8"/>
        <v>1</v>
      </c>
      <c r="O158">
        <f t="shared" si="9"/>
        <v>0</v>
      </c>
      <c r="P158">
        <f t="shared" si="10"/>
        <v>0</v>
      </c>
      <c r="T158" s="18">
        <v>700078.32</v>
      </c>
      <c r="U158" s="18">
        <v>86883.31</v>
      </c>
      <c r="V158" s="19">
        <v>6424</v>
      </c>
      <c r="W158" s="19">
        <v>5.7000000000000002E-2</v>
      </c>
      <c r="X158" s="19">
        <v>1</v>
      </c>
      <c r="Y158" s="19">
        <v>0</v>
      </c>
      <c r="Z158" s="19">
        <v>0</v>
      </c>
    </row>
    <row r="159" spans="1:26">
      <c r="A159" s="2">
        <v>45689</v>
      </c>
      <c r="B159" t="s">
        <v>20</v>
      </c>
      <c r="C159" t="s">
        <v>28</v>
      </c>
      <c r="D159" s="5">
        <v>41863.08</v>
      </c>
      <c r="E159">
        <v>5400</v>
      </c>
      <c r="F159">
        <v>0.114</v>
      </c>
      <c r="G159">
        <v>11</v>
      </c>
      <c r="H159">
        <v>91.6</v>
      </c>
      <c r="I159">
        <v>7.99</v>
      </c>
      <c r="J159">
        <v>0</v>
      </c>
      <c r="K159">
        <v>3</v>
      </c>
      <c r="L159" s="5">
        <v>602002.31999999995</v>
      </c>
      <c r="M159">
        <v>110453.28</v>
      </c>
      <c r="N159">
        <f t="shared" si="8"/>
        <v>1</v>
      </c>
      <c r="O159">
        <f t="shared" si="9"/>
        <v>0</v>
      </c>
      <c r="P159">
        <f t="shared" si="10"/>
        <v>0</v>
      </c>
      <c r="T159" s="18">
        <v>602002.31999999995</v>
      </c>
      <c r="U159" s="18">
        <v>41863.08</v>
      </c>
      <c r="V159" s="19">
        <v>5400</v>
      </c>
      <c r="W159" s="19">
        <v>0.114</v>
      </c>
      <c r="X159" s="19">
        <v>1</v>
      </c>
      <c r="Y159" s="19">
        <v>0</v>
      </c>
      <c r="Z159" s="19">
        <v>0</v>
      </c>
    </row>
    <row r="160" spans="1:26">
      <c r="A160" s="2">
        <v>45717</v>
      </c>
      <c r="B160" t="s">
        <v>20</v>
      </c>
      <c r="C160" t="s">
        <v>28</v>
      </c>
      <c r="D160" s="5">
        <v>56918.16</v>
      </c>
      <c r="E160">
        <v>7015</v>
      </c>
      <c r="F160">
        <v>0.158</v>
      </c>
      <c r="G160">
        <v>18</v>
      </c>
      <c r="H160">
        <v>74.2</v>
      </c>
      <c r="I160">
        <v>0.2</v>
      </c>
      <c r="J160">
        <v>0</v>
      </c>
      <c r="K160">
        <v>3.4</v>
      </c>
      <c r="L160" s="5">
        <v>724216.07</v>
      </c>
      <c r="M160">
        <v>100627.56</v>
      </c>
      <c r="N160">
        <f t="shared" si="8"/>
        <v>1</v>
      </c>
      <c r="O160">
        <f t="shared" si="9"/>
        <v>0</v>
      </c>
      <c r="P160">
        <f t="shared" si="10"/>
        <v>0</v>
      </c>
      <c r="T160" s="18">
        <v>724216.07</v>
      </c>
      <c r="U160" s="18">
        <v>56918.16</v>
      </c>
      <c r="V160" s="19">
        <v>7015</v>
      </c>
      <c r="W160" s="19">
        <v>0.158</v>
      </c>
      <c r="X160" s="19">
        <v>1</v>
      </c>
      <c r="Y160" s="19">
        <v>0</v>
      </c>
      <c r="Z160" s="19">
        <v>0</v>
      </c>
    </row>
    <row r="161" spans="1:26">
      <c r="A161" s="2">
        <v>45748</v>
      </c>
      <c r="B161" t="s">
        <v>20</v>
      </c>
      <c r="C161" t="s">
        <v>28</v>
      </c>
      <c r="D161" s="5">
        <v>23254.57</v>
      </c>
      <c r="E161">
        <v>3847</v>
      </c>
      <c r="F161">
        <v>0.159</v>
      </c>
      <c r="G161">
        <v>12</v>
      </c>
      <c r="H161">
        <v>93</v>
      </c>
      <c r="I161">
        <v>5.46</v>
      </c>
      <c r="J161">
        <v>0</v>
      </c>
      <c r="K161">
        <v>3.3</v>
      </c>
      <c r="L161" s="5">
        <v>620973.03</v>
      </c>
      <c r="M161">
        <v>72303.850000000006</v>
      </c>
      <c r="N161">
        <f t="shared" si="8"/>
        <v>1</v>
      </c>
      <c r="O161">
        <f t="shared" si="9"/>
        <v>0</v>
      </c>
      <c r="P161">
        <f t="shared" si="10"/>
        <v>0</v>
      </c>
      <c r="T161" s="18">
        <v>620973.03</v>
      </c>
      <c r="U161" s="18">
        <v>23254.57</v>
      </c>
      <c r="V161" s="19">
        <v>3847</v>
      </c>
      <c r="W161" s="19">
        <v>0.159</v>
      </c>
      <c r="X161" s="19">
        <v>1</v>
      </c>
      <c r="Y161" s="19">
        <v>0</v>
      </c>
      <c r="Z161" s="19">
        <v>0</v>
      </c>
    </row>
    <row r="162" spans="1:26">
      <c r="A162" s="2">
        <v>45658</v>
      </c>
      <c r="B162" t="s">
        <v>24</v>
      </c>
      <c r="C162" t="s">
        <v>18</v>
      </c>
      <c r="D162" s="5">
        <v>41443.410000000003</v>
      </c>
      <c r="E162">
        <v>7455</v>
      </c>
      <c r="F162">
        <v>0.17499999999999999</v>
      </c>
      <c r="G162">
        <v>16</v>
      </c>
      <c r="H162">
        <v>90.1</v>
      </c>
      <c r="I162">
        <v>4.05</v>
      </c>
      <c r="J162">
        <v>0</v>
      </c>
      <c r="K162">
        <v>4</v>
      </c>
      <c r="L162" s="5">
        <v>650480.06000000006</v>
      </c>
      <c r="M162">
        <v>109012.07</v>
      </c>
      <c r="N162">
        <f t="shared" si="8"/>
        <v>0</v>
      </c>
      <c r="O162">
        <f t="shared" si="9"/>
        <v>1</v>
      </c>
      <c r="P162">
        <f t="shared" si="10"/>
        <v>0</v>
      </c>
      <c r="T162" s="18">
        <v>650480.06000000006</v>
      </c>
      <c r="U162" s="18">
        <v>41443.410000000003</v>
      </c>
      <c r="V162" s="19">
        <v>7455</v>
      </c>
      <c r="W162" s="19">
        <v>0.17499999999999999</v>
      </c>
      <c r="X162" s="19">
        <v>0</v>
      </c>
      <c r="Y162" s="19">
        <v>1</v>
      </c>
      <c r="Z162" s="19">
        <v>0</v>
      </c>
    </row>
    <row r="163" spans="1:26">
      <c r="A163" s="2">
        <v>45689</v>
      </c>
      <c r="B163" t="s">
        <v>24</v>
      </c>
      <c r="C163" t="s">
        <v>18</v>
      </c>
      <c r="D163" s="5">
        <v>48438.85</v>
      </c>
      <c r="E163">
        <v>6992</v>
      </c>
      <c r="F163">
        <v>3.4000000000000002E-2</v>
      </c>
      <c r="G163">
        <v>20</v>
      </c>
      <c r="H163">
        <v>91</v>
      </c>
      <c r="I163">
        <v>4.3600000000000003</v>
      </c>
      <c r="J163">
        <v>0</v>
      </c>
      <c r="K163">
        <v>4.2</v>
      </c>
      <c r="L163" s="5">
        <v>778298.88</v>
      </c>
      <c r="M163">
        <v>130076.72</v>
      </c>
      <c r="N163">
        <f t="shared" si="8"/>
        <v>0</v>
      </c>
      <c r="O163">
        <f t="shared" si="9"/>
        <v>1</v>
      </c>
      <c r="P163">
        <f t="shared" si="10"/>
        <v>0</v>
      </c>
      <c r="T163" s="18">
        <v>778298.88</v>
      </c>
      <c r="U163" s="18">
        <v>48438.85</v>
      </c>
      <c r="V163" s="19">
        <v>6992</v>
      </c>
      <c r="W163" s="19">
        <v>3.4000000000000002E-2</v>
      </c>
      <c r="X163" s="19">
        <v>0</v>
      </c>
      <c r="Y163" s="19">
        <v>1</v>
      </c>
      <c r="Z163" s="19">
        <v>0</v>
      </c>
    </row>
    <row r="164" spans="1:26">
      <c r="A164" s="2">
        <v>45717</v>
      </c>
      <c r="B164" t="s">
        <v>24</v>
      </c>
      <c r="C164" t="s">
        <v>18</v>
      </c>
      <c r="D164" s="5">
        <v>57143.3</v>
      </c>
      <c r="E164">
        <v>8038</v>
      </c>
      <c r="F164">
        <v>0.193</v>
      </c>
      <c r="G164">
        <v>17</v>
      </c>
      <c r="H164">
        <v>72.599999999999994</v>
      </c>
      <c r="J164">
        <v>0</v>
      </c>
      <c r="K164">
        <v>4.2</v>
      </c>
      <c r="L164" s="5">
        <v>677096.71</v>
      </c>
      <c r="M164">
        <v>97174.11</v>
      </c>
      <c r="N164">
        <f t="shared" si="8"/>
        <v>0</v>
      </c>
      <c r="O164">
        <f t="shared" si="9"/>
        <v>1</v>
      </c>
      <c r="P164">
        <f t="shared" si="10"/>
        <v>0</v>
      </c>
      <c r="T164" s="18">
        <v>677096.71</v>
      </c>
      <c r="U164" s="18">
        <v>57143.3</v>
      </c>
      <c r="V164" s="19">
        <v>8038</v>
      </c>
      <c r="W164" s="19">
        <v>0.193</v>
      </c>
      <c r="X164" s="19">
        <v>0</v>
      </c>
      <c r="Y164" s="19">
        <v>1</v>
      </c>
      <c r="Z164" s="19">
        <v>0</v>
      </c>
    </row>
    <row r="165" spans="1:26">
      <c r="A165" s="2">
        <v>45748</v>
      </c>
      <c r="B165" t="s">
        <v>24</v>
      </c>
      <c r="C165" t="s">
        <v>18</v>
      </c>
      <c r="D165" s="5">
        <v>66870.62</v>
      </c>
      <c r="E165">
        <v>6055</v>
      </c>
      <c r="F165">
        <v>7.4999999999999997E-2</v>
      </c>
      <c r="G165">
        <v>19</v>
      </c>
      <c r="H165">
        <v>93.8</v>
      </c>
      <c r="I165">
        <v>0.54</v>
      </c>
      <c r="J165">
        <v>0</v>
      </c>
      <c r="K165">
        <v>4.3</v>
      </c>
      <c r="L165" s="5">
        <v>692008.64</v>
      </c>
      <c r="M165">
        <v>116337.87</v>
      </c>
      <c r="N165">
        <f t="shared" si="8"/>
        <v>0</v>
      </c>
      <c r="O165">
        <f t="shared" si="9"/>
        <v>1</v>
      </c>
      <c r="P165">
        <f t="shared" si="10"/>
        <v>0</v>
      </c>
      <c r="T165" s="18">
        <v>692008.64</v>
      </c>
      <c r="U165" s="18">
        <v>66870.62</v>
      </c>
      <c r="V165" s="19">
        <v>6055</v>
      </c>
      <c r="W165" s="19">
        <v>7.4999999999999997E-2</v>
      </c>
      <c r="X165" s="19">
        <v>0</v>
      </c>
      <c r="Y165" s="19">
        <v>1</v>
      </c>
      <c r="Z165" s="19">
        <v>0</v>
      </c>
    </row>
    <row r="166" spans="1:26">
      <c r="A166" s="2">
        <v>45658</v>
      </c>
      <c r="B166" t="s">
        <v>20</v>
      </c>
      <c r="C166" t="s">
        <v>28</v>
      </c>
      <c r="D166" s="5">
        <v>72150.53</v>
      </c>
      <c r="E166">
        <v>9323</v>
      </c>
      <c r="F166">
        <v>0.157</v>
      </c>
      <c r="G166">
        <v>22</v>
      </c>
      <c r="H166">
        <v>82.9</v>
      </c>
      <c r="I166">
        <v>11.37</v>
      </c>
      <c r="J166">
        <v>1</v>
      </c>
      <c r="K166">
        <v>4.3</v>
      </c>
      <c r="L166" s="5">
        <v>825797.91</v>
      </c>
      <c r="M166">
        <v>130945.24</v>
      </c>
      <c r="N166">
        <f t="shared" si="8"/>
        <v>1</v>
      </c>
      <c r="O166">
        <f t="shared" si="9"/>
        <v>0</v>
      </c>
      <c r="P166">
        <f t="shared" si="10"/>
        <v>0</v>
      </c>
      <c r="T166" s="18">
        <v>825797.91</v>
      </c>
      <c r="U166" s="18">
        <v>72150.53</v>
      </c>
      <c r="V166" s="19">
        <v>9323</v>
      </c>
      <c r="W166" s="19">
        <v>0.157</v>
      </c>
      <c r="X166" s="19">
        <v>1</v>
      </c>
      <c r="Y166" s="19">
        <v>0</v>
      </c>
      <c r="Z166" s="19">
        <v>0</v>
      </c>
    </row>
    <row r="167" spans="1:26">
      <c r="A167" s="2">
        <v>45689</v>
      </c>
      <c r="B167" t="s">
        <v>20</v>
      </c>
      <c r="C167" t="s">
        <v>28</v>
      </c>
      <c r="D167" s="5">
        <v>35303.300000000003</v>
      </c>
      <c r="E167">
        <v>8789</v>
      </c>
      <c r="F167">
        <v>0.123</v>
      </c>
      <c r="G167">
        <v>22</v>
      </c>
      <c r="H167">
        <v>86.1</v>
      </c>
      <c r="I167">
        <v>9.43</v>
      </c>
      <c r="J167">
        <v>0</v>
      </c>
      <c r="K167">
        <v>4.2</v>
      </c>
      <c r="L167" s="5">
        <v>706285.52</v>
      </c>
      <c r="M167">
        <v>138014.72</v>
      </c>
      <c r="N167">
        <f t="shared" si="8"/>
        <v>1</v>
      </c>
      <c r="O167">
        <f t="shared" si="9"/>
        <v>0</v>
      </c>
      <c r="P167">
        <f t="shared" si="10"/>
        <v>0</v>
      </c>
      <c r="T167" s="18">
        <v>706285.52</v>
      </c>
      <c r="U167" s="18">
        <v>35303.300000000003</v>
      </c>
      <c r="V167" s="19">
        <v>8789</v>
      </c>
      <c r="W167" s="19">
        <v>0.123</v>
      </c>
      <c r="X167" s="19">
        <v>1</v>
      </c>
      <c r="Y167" s="19">
        <v>0</v>
      </c>
      <c r="Z167" s="19">
        <v>0</v>
      </c>
    </row>
    <row r="168" spans="1:26">
      <c r="A168" s="2">
        <v>45717</v>
      </c>
      <c r="B168" t="s">
        <v>20</v>
      </c>
      <c r="C168" t="s">
        <v>28</v>
      </c>
      <c r="D168" s="5">
        <v>30301.86</v>
      </c>
      <c r="E168">
        <v>6939</v>
      </c>
      <c r="F168">
        <v>0.09</v>
      </c>
      <c r="G168">
        <v>16</v>
      </c>
      <c r="H168">
        <v>90.3</v>
      </c>
      <c r="I168">
        <v>3.49</v>
      </c>
      <c r="J168">
        <v>0</v>
      </c>
      <c r="K168">
        <v>4</v>
      </c>
      <c r="L168" s="5">
        <v>665534.69999999995</v>
      </c>
      <c r="M168">
        <v>113167.73</v>
      </c>
      <c r="N168">
        <f t="shared" si="8"/>
        <v>1</v>
      </c>
      <c r="O168">
        <f t="shared" si="9"/>
        <v>0</v>
      </c>
      <c r="P168">
        <f t="shared" si="10"/>
        <v>0</v>
      </c>
      <c r="T168" s="18">
        <v>665534.69999999995</v>
      </c>
      <c r="U168" s="18">
        <v>30301.86</v>
      </c>
      <c r="V168" s="19">
        <v>6939</v>
      </c>
      <c r="W168" s="19">
        <v>0.09</v>
      </c>
      <c r="X168" s="19">
        <v>1</v>
      </c>
      <c r="Y168" s="19">
        <v>0</v>
      </c>
      <c r="Z168" s="19">
        <v>0</v>
      </c>
    </row>
    <row r="169" spans="1:26">
      <c r="A169" s="2">
        <v>45748</v>
      </c>
      <c r="B169" t="s">
        <v>20</v>
      </c>
      <c r="C169" t="s">
        <v>28</v>
      </c>
      <c r="D169" s="5">
        <v>78432.14</v>
      </c>
      <c r="E169">
        <v>9440</v>
      </c>
      <c r="F169">
        <v>0.126</v>
      </c>
      <c r="G169">
        <v>23</v>
      </c>
      <c r="H169">
        <v>89.2</v>
      </c>
      <c r="I169">
        <v>7.86</v>
      </c>
      <c r="J169">
        <v>0</v>
      </c>
      <c r="K169">
        <v>4.0999999999999996</v>
      </c>
      <c r="L169" s="5">
        <v>820729.29</v>
      </c>
      <c r="M169">
        <v>159325.47</v>
      </c>
      <c r="N169">
        <f t="shared" si="8"/>
        <v>1</v>
      </c>
      <c r="O169">
        <f t="shared" si="9"/>
        <v>0</v>
      </c>
      <c r="P169">
        <f t="shared" si="10"/>
        <v>0</v>
      </c>
      <c r="T169" s="18">
        <v>820729.29</v>
      </c>
      <c r="U169" s="18">
        <v>78432.14</v>
      </c>
      <c r="V169" s="19">
        <v>9440</v>
      </c>
      <c r="W169" s="19">
        <v>0.126</v>
      </c>
      <c r="X169" s="19">
        <v>1</v>
      </c>
      <c r="Y169" s="19">
        <v>0</v>
      </c>
      <c r="Z169" s="19">
        <v>0</v>
      </c>
    </row>
    <row r="170" spans="1:26">
      <c r="A170" s="2">
        <v>45658</v>
      </c>
      <c r="B170" t="s">
        <v>15</v>
      </c>
      <c r="C170" t="s">
        <v>16</v>
      </c>
      <c r="D170" s="5">
        <v>62059.18</v>
      </c>
      <c r="E170">
        <v>9374</v>
      </c>
      <c r="F170">
        <v>0.13600000000000001</v>
      </c>
      <c r="G170">
        <v>25</v>
      </c>
      <c r="H170">
        <v>87.1</v>
      </c>
      <c r="I170">
        <v>12.55</v>
      </c>
      <c r="J170">
        <v>0</v>
      </c>
      <c r="K170">
        <v>4.9000000000000004</v>
      </c>
      <c r="L170" s="5">
        <v>739831.73</v>
      </c>
      <c r="M170">
        <v>119490.21</v>
      </c>
      <c r="N170">
        <f t="shared" si="8"/>
        <v>0</v>
      </c>
      <c r="O170">
        <f t="shared" si="9"/>
        <v>0</v>
      </c>
      <c r="P170">
        <f t="shared" si="10"/>
        <v>0</v>
      </c>
      <c r="T170" s="18">
        <v>739831.73</v>
      </c>
      <c r="U170" s="18">
        <v>62059.18</v>
      </c>
      <c r="V170" s="19">
        <v>9374</v>
      </c>
      <c r="W170" s="19">
        <v>0.13600000000000001</v>
      </c>
      <c r="X170" s="19">
        <v>0</v>
      </c>
      <c r="Y170" s="19">
        <v>0</v>
      </c>
      <c r="Z170" s="19">
        <v>0</v>
      </c>
    </row>
    <row r="171" spans="1:26">
      <c r="A171" s="2">
        <v>45689</v>
      </c>
      <c r="B171" t="s">
        <v>15</v>
      </c>
      <c r="C171" t="s">
        <v>16</v>
      </c>
      <c r="D171" s="5">
        <v>32834.480000000003</v>
      </c>
      <c r="E171">
        <v>7576</v>
      </c>
      <c r="F171">
        <v>9.9000000000000005E-2</v>
      </c>
      <c r="G171">
        <v>15</v>
      </c>
      <c r="H171">
        <v>84.1</v>
      </c>
      <c r="I171">
        <v>3.48</v>
      </c>
      <c r="J171">
        <v>0</v>
      </c>
      <c r="K171">
        <v>5</v>
      </c>
      <c r="L171" s="5">
        <v>593637.14</v>
      </c>
      <c r="M171">
        <v>106648.14</v>
      </c>
      <c r="N171">
        <f t="shared" si="8"/>
        <v>0</v>
      </c>
      <c r="O171">
        <f t="shared" si="9"/>
        <v>0</v>
      </c>
      <c r="P171">
        <f t="shared" si="10"/>
        <v>0</v>
      </c>
      <c r="T171" s="18">
        <v>593637.14</v>
      </c>
      <c r="U171" s="18">
        <v>32834.480000000003</v>
      </c>
      <c r="V171" s="19">
        <v>7576</v>
      </c>
      <c r="W171" s="19">
        <v>9.9000000000000005E-2</v>
      </c>
      <c r="X171" s="19">
        <v>0</v>
      </c>
      <c r="Y171" s="19">
        <v>0</v>
      </c>
      <c r="Z171" s="19">
        <v>0</v>
      </c>
    </row>
    <row r="172" spans="1:26">
      <c r="A172" s="2">
        <v>45717</v>
      </c>
      <c r="B172" t="s">
        <v>15</v>
      </c>
      <c r="C172" t="s">
        <v>16</v>
      </c>
      <c r="D172" s="5">
        <v>50825.08</v>
      </c>
      <c r="E172">
        <v>8949</v>
      </c>
      <c r="F172">
        <v>0.157</v>
      </c>
      <c r="G172">
        <v>21</v>
      </c>
      <c r="H172">
        <v>84.7</v>
      </c>
      <c r="I172">
        <v>7.73</v>
      </c>
      <c r="J172">
        <v>0</v>
      </c>
      <c r="K172">
        <v>4.9000000000000004</v>
      </c>
      <c r="L172" s="5">
        <v>769702.76</v>
      </c>
      <c r="M172">
        <v>158697</v>
      </c>
      <c r="N172">
        <f t="shared" si="8"/>
        <v>0</v>
      </c>
      <c r="O172">
        <f t="shared" si="9"/>
        <v>0</v>
      </c>
      <c r="P172">
        <f t="shared" si="10"/>
        <v>0</v>
      </c>
      <c r="T172" s="18">
        <v>769702.76</v>
      </c>
      <c r="U172" s="18">
        <v>50825.08</v>
      </c>
      <c r="V172" s="19">
        <v>8949</v>
      </c>
      <c r="W172" s="19">
        <v>0.157</v>
      </c>
      <c r="X172" s="19">
        <v>0</v>
      </c>
      <c r="Y172" s="19">
        <v>0</v>
      </c>
      <c r="Z172" s="19">
        <v>0</v>
      </c>
    </row>
    <row r="173" spans="1:26">
      <c r="A173" s="2">
        <v>45748</v>
      </c>
      <c r="B173" t="s">
        <v>15</v>
      </c>
      <c r="C173" t="s">
        <v>16</v>
      </c>
      <c r="D173" s="5">
        <v>36606.51</v>
      </c>
      <c r="E173">
        <v>7671</v>
      </c>
      <c r="F173">
        <v>0.11799999999999999</v>
      </c>
      <c r="G173">
        <v>18</v>
      </c>
      <c r="H173">
        <v>89.8</v>
      </c>
      <c r="I173">
        <v>0.25</v>
      </c>
      <c r="J173">
        <v>0</v>
      </c>
      <c r="K173">
        <v>4.4000000000000004</v>
      </c>
      <c r="L173" s="5">
        <v>679731.57</v>
      </c>
      <c r="M173">
        <v>121546.42</v>
      </c>
      <c r="N173">
        <f t="shared" si="8"/>
        <v>0</v>
      </c>
      <c r="O173">
        <f t="shared" si="9"/>
        <v>0</v>
      </c>
      <c r="P173">
        <f t="shared" si="10"/>
        <v>0</v>
      </c>
      <c r="T173" s="18">
        <v>679731.57</v>
      </c>
      <c r="U173" s="18">
        <v>36606.51</v>
      </c>
      <c r="V173" s="19">
        <v>7671</v>
      </c>
      <c r="W173" s="19">
        <v>0.11799999999999999</v>
      </c>
      <c r="X173" s="19">
        <v>0</v>
      </c>
      <c r="Y173" s="19">
        <v>0</v>
      </c>
      <c r="Z173" s="19">
        <v>0</v>
      </c>
    </row>
    <row r="174" spans="1:26">
      <c r="A174" s="2">
        <v>45658</v>
      </c>
      <c r="B174" t="s">
        <v>15</v>
      </c>
      <c r="C174" t="s">
        <v>16</v>
      </c>
      <c r="D174" s="5">
        <v>65237.79</v>
      </c>
      <c r="E174">
        <v>8741</v>
      </c>
      <c r="F174">
        <v>0.157</v>
      </c>
      <c r="G174">
        <v>20</v>
      </c>
      <c r="H174">
        <v>94.4</v>
      </c>
      <c r="I174">
        <v>6.43</v>
      </c>
      <c r="J174">
        <v>0</v>
      </c>
      <c r="K174">
        <v>3.3</v>
      </c>
      <c r="L174" s="5">
        <v>780344.18</v>
      </c>
      <c r="M174">
        <v>118239.09</v>
      </c>
      <c r="N174">
        <f t="shared" si="8"/>
        <v>0</v>
      </c>
      <c r="O174">
        <f t="shared" si="9"/>
        <v>0</v>
      </c>
      <c r="P174">
        <f t="shared" si="10"/>
        <v>0</v>
      </c>
      <c r="T174" s="18">
        <v>780344.18</v>
      </c>
      <c r="U174" s="18">
        <v>65237.79</v>
      </c>
      <c r="V174" s="19">
        <v>8741</v>
      </c>
      <c r="W174" s="19">
        <v>0.157</v>
      </c>
      <c r="X174" s="19">
        <v>0</v>
      </c>
      <c r="Y174" s="19">
        <v>0</v>
      </c>
      <c r="Z174" s="19">
        <v>0</v>
      </c>
    </row>
    <row r="175" spans="1:26">
      <c r="A175" s="2">
        <v>45689</v>
      </c>
      <c r="B175" t="s">
        <v>15</v>
      </c>
      <c r="C175" t="s">
        <v>16</v>
      </c>
      <c r="D175" s="5">
        <v>43645.98</v>
      </c>
      <c r="E175">
        <v>9480</v>
      </c>
      <c r="F175">
        <v>0.109</v>
      </c>
      <c r="G175">
        <v>22</v>
      </c>
      <c r="H175">
        <v>89</v>
      </c>
      <c r="I175">
        <v>2.11</v>
      </c>
      <c r="J175">
        <v>0</v>
      </c>
      <c r="K175">
        <v>3.1</v>
      </c>
      <c r="L175" s="5">
        <v>721364.11</v>
      </c>
      <c r="M175">
        <v>147272.81</v>
      </c>
      <c r="N175">
        <f t="shared" si="8"/>
        <v>0</v>
      </c>
      <c r="O175">
        <f t="shared" si="9"/>
        <v>0</v>
      </c>
      <c r="P175">
        <f t="shared" si="10"/>
        <v>0</v>
      </c>
      <c r="T175" s="18">
        <v>721364.11</v>
      </c>
      <c r="U175" s="18">
        <v>43645.98</v>
      </c>
      <c r="V175" s="19">
        <v>9480</v>
      </c>
      <c r="W175" s="19">
        <v>0.109</v>
      </c>
      <c r="X175" s="19">
        <v>0</v>
      </c>
      <c r="Y175" s="19">
        <v>0</v>
      </c>
      <c r="Z175" s="19">
        <v>0</v>
      </c>
    </row>
    <row r="176" spans="1:26">
      <c r="A176" s="2">
        <v>45717</v>
      </c>
      <c r="B176" t="s">
        <v>15</v>
      </c>
      <c r="C176" t="s">
        <v>16</v>
      </c>
      <c r="D176" s="5">
        <v>68040.149999999994</v>
      </c>
      <c r="E176">
        <v>9826</v>
      </c>
      <c r="F176">
        <v>0.125</v>
      </c>
      <c r="G176">
        <v>20</v>
      </c>
      <c r="H176">
        <v>83.9</v>
      </c>
      <c r="I176">
        <v>9.1199999999999992</v>
      </c>
      <c r="J176">
        <v>0</v>
      </c>
      <c r="K176">
        <v>3.6</v>
      </c>
      <c r="L176" s="5">
        <v>758138.29</v>
      </c>
      <c r="M176">
        <v>132975.26</v>
      </c>
      <c r="N176">
        <f t="shared" si="8"/>
        <v>0</v>
      </c>
      <c r="O176">
        <f t="shared" si="9"/>
        <v>0</v>
      </c>
      <c r="P176">
        <f t="shared" si="10"/>
        <v>0</v>
      </c>
      <c r="T176" s="18">
        <v>758138.29</v>
      </c>
      <c r="U176" s="18">
        <v>68040.149999999994</v>
      </c>
      <c r="V176" s="19">
        <v>9826</v>
      </c>
      <c r="W176" s="19">
        <v>0.125</v>
      </c>
      <c r="X176" s="19">
        <v>0</v>
      </c>
      <c r="Y176" s="19">
        <v>0</v>
      </c>
      <c r="Z176" s="19">
        <v>0</v>
      </c>
    </row>
    <row r="177" spans="1:26">
      <c r="A177" s="2">
        <v>45748</v>
      </c>
      <c r="B177" t="s">
        <v>15</v>
      </c>
      <c r="C177" t="s">
        <v>16</v>
      </c>
      <c r="D177" s="5">
        <v>63043.94</v>
      </c>
      <c r="E177">
        <v>10402</v>
      </c>
      <c r="F177">
        <v>0.159</v>
      </c>
      <c r="G177">
        <v>23</v>
      </c>
      <c r="H177">
        <v>93.9</v>
      </c>
      <c r="I177">
        <v>2.71</v>
      </c>
      <c r="J177">
        <v>0</v>
      </c>
      <c r="K177">
        <v>3.1</v>
      </c>
      <c r="L177" s="5">
        <v>804264</v>
      </c>
      <c r="M177">
        <v>167117.91</v>
      </c>
      <c r="N177">
        <f t="shared" si="8"/>
        <v>0</v>
      </c>
      <c r="O177">
        <f t="shared" si="9"/>
        <v>0</v>
      </c>
      <c r="P177">
        <f t="shared" si="10"/>
        <v>0</v>
      </c>
      <c r="T177" s="18">
        <v>804264</v>
      </c>
      <c r="U177" s="18">
        <v>63043.94</v>
      </c>
      <c r="V177" s="19">
        <v>10402</v>
      </c>
      <c r="W177" s="19">
        <v>0.159</v>
      </c>
      <c r="X177" s="19">
        <v>0</v>
      </c>
      <c r="Y177" s="19">
        <v>0</v>
      </c>
      <c r="Z177" s="19">
        <v>0</v>
      </c>
    </row>
    <row r="178" spans="1:26">
      <c r="A178" s="2">
        <v>45658</v>
      </c>
      <c r="B178" t="s">
        <v>27</v>
      </c>
      <c r="C178" t="s">
        <v>21</v>
      </c>
      <c r="D178" s="5">
        <v>67494.09</v>
      </c>
      <c r="E178">
        <v>12361</v>
      </c>
      <c r="F178">
        <v>4.5999999999999999E-2</v>
      </c>
      <c r="G178">
        <v>24</v>
      </c>
      <c r="H178">
        <v>76.599999999999994</v>
      </c>
      <c r="I178">
        <v>3.65</v>
      </c>
      <c r="J178">
        <v>1</v>
      </c>
      <c r="K178">
        <v>3.7</v>
      </c>
      <c r="L178" s="5">
        <v>887537.75</v>
      </c>
      <c r="M178">
        <v>160362.92000000001</v>
      </c>
      <c r="N178">
        <f t="shared" si="8"/>
        <v>0</v>
      </c>
      <c r="O178">
        <f t="shared" si="9"/>
        <v>0</v>
      </c>
      <c r="P178">
        <f t="shared" si="10"/>
        <v>1</v>
      </c>
      <c r="T178" s="18">
        <v>887537.75</v>
      </c>
      <c r="U178" s="18">
        <v>67494.09</v>
      </c>
      <c r="V178" s="19">
        <v>12361</v>
      </c>
      <c r="W178" s="19">
        <v>4.5999999999999999E-2</v>
      </c>
      <c r="X178" s="19">
        <v>0</v>
      </c>
      <c r="Y178" s="19">
        <v>0</v>
      </c>
      <c r="Z178" s="19">
        <v>1</v>
      </c>
    </row>
    <row r="179" spans="1:26">
      <c r="A179" s="2">
        <v>45689</v>
      </c>
      <c r="B179" t="s">
        <v>27</v>
      </c>
      <c r="C179" t="s">
        <v>21</v>
      </c>
      <c r="D179" s="5">
        <v>29389.32</v>
      </c>
      <c r="E179">
        <v>7925</v>
      </c>
      <c r="F179">
        <v>0.17699999999999999</v>
      </c>
      <c r="G179">
        <v>21</v>
      </c>
      <c r="H179">
        <v>90.9</v>
      </c>
      <c r="I179">
        <v>7.86</v>
      </c>
      <c r="J179">
        <v>0</v>
      </c>
      <c r="K179">
        <v>4</v>
      </c>
      <c r="L179" s="5">
        <v>783582</v>
      </c>
      <c r="M179">
        <v>130670.93</v>
      </c>
      <c r="N179">
        <f t="shared" si="8"/>
        <v>0</v>
      </c>
      <c r="O179">
        <f t="shared" si="9"/>
        <v>0</v>
      </c>
      <c r="P179">
        <f t="shared" si="10"/>
        <v>1</v>
      </c>
      <c r="T179" s="18">
        <v>783582</v>
      </c>
      <c r="U179" s="18">
        <v>29389.32</v>
      </c>
      <c r="V179" s="19">
        <v>7925</v>
      </c>
      <c r="W179" s="19">
        <v>0.17699999999999999</v>
      </c>
      <c r="X179" s="19">
        <v>0</v>
      </c>
      <c r="Y179" s="19">
        <v>0</v>
      </c>
      <c r="Z179" s="19">
        <v>1</v>
      </c>
    </row>
    <row r="180" spans="1:26">
      <c r="A180" s="2">
        <v>45717</v>
      </c>
      <c r="B180" t="s">
        <v>27</v>
      </c>
      <c r="C180" t="s">
        <v>21</v>
      </c>
      <c r="D180" s="5">
        <v>40535.089999999997</v>
      </c>
      <c r="E180">
        <v>8870</v>
      </c>
      <c r="F180">
        <v>4.1000000000000002E-2</v>
      </c>
      <c r="G180">
        <v>21</v>
      </c>
      <c r="H180">
        <v>86.6</v>
      </c>
      <c r="I180">
        <v>0.3</v>
      </c>
      <c r="J180">
        <v>0</v>
      </c>
      <c r="K180">
        <v>4.0999999999999996</v>
      </c>
      <c r="L180" s="5">
        <v>781955.52</v>
      </c>
      <c r="M180">
        <v>152578.71</v>
      </c>
      <c r="N180">
        <f t="shared" si="8"/>
        <v>0</v>
      </c>
      <c r="O180">
        <f t="shared" si="9"/>
        <v>0</v>
      </c>
      <c r="P180">
        <f t="shared" si="10"/>
        <v>1</v>
      </c>
      <c r="T180" s="18">
        <v>781955.52</v>
      </c>
      <c r="U180" s="18">
        <v>40535.089999999997</v>
      </c>
      <c r="V180" s="19">
        <v>8870</v>
      </c>
      <c r="W180" s="19">
        <v>4.1000000000000002E-2</v>
      </c>
      <c r="X180" s="19">
        <v>0</v>
      </c>
      <c r="Y180" s="19">
        <v>0</v>
      </c>
      <c r="Z180" s="19">
        <v>1</v>
      </c>
    </row>
    <row r="181" spans="1:26">
      <c r="A181" s="2">
        <v>45748</v>
      </c>
      <c r="B181" t="s">
        <v>27</v>
      </c>
      <c r="C181" t="s">
        <v>21</v>
      </c>
      <c r="D181" s="5">
        <v>74881.56</v>
      </c>
      <c r="E181">
        <v>9999</v>
      </c>
      <c r="F181">
        <v>1.2999999999999999E-2</v>
      </c>
      <c r="G181">
        <v>20</v>
      </c>
      <c r="H181">
        <v>89.6</v>
      </c>
      <c r="I181">
        <v>8.44</v>
      </c>
      <c r="J181">
        <v>0</v>
      </c>
      <c r="K181">
        <v>4.0999999999999996</v>
      </c>
      <c r="L181" s="5">
        <v>898031.04</v>
      </c>
      <c r="M181">
        <v>138666.5</v>
      </c>
      <c r="N181">
        <f t="shared" si="8"/>
        <v>0</v>
      </c>
      <c r="O181">
        <f t="shared" si="9"/>
        <v>0</v>
      </c>
      <c r="P181">
        <f t="shared" si="10"/>
        <v>1</v>
      </c>
      <c r="T181" s="18">
        <v>898031.04</v>
      </c>
      <c r="U181" s="18">
        <v>74881.56</v>
      </c>
      <c r="V181" s="19">
        <v>9999</v>
      </c>
      <c r="W181" s="19">
        <v>1.2999999999999999E-2</v>
      </c>
      <c r="X181" s="19">
        <v>0</v>
      </c>
      <c r="Y181" s="19">
        <v>0</v>
      </c>
      <c r="Z181" s="19">
        <v>1</v>
      </c>
    </row>
    <row r="182" spans="1:26">
      <c r="A182" s="2">
        <v>45658</v>
      </c>
      <c r="B182" t="s">
        <v>27</v>
      </c>
      <c r="C182" t="s">
        <v>16</v>
      </c>
      <c r="D182" s="5">
        <v>68491.11</v>
      </c>
      <c r="E182">
        <v>11154</v>
      </c>
      <c r="F182">
        <v>1E-3</v>
      </c>
      <c r="G182">
        <v>24</v>
      </c>
      <c r="H182">
        <v>89.4</v>
      </c>
      <c r="I182">
        <v>5.27</v>
      </c>
      <c r="J182">
        <v>1</v>
      </c>
      <c r="K182">
        <v>3.9</v>
      </c>
      <c r="L182" s="5">
        <v>855341.28</v>
      </c>
      <c r="M182">
        <v>175823.8</v>
      </c>
      <c r="N182">
        <f t="shared" si="8"/>
        <v>0</v>
      </c>
      <c r="O182">
        <f t="shared" si="9"/>
        <v>0</v>
      </c>
      <c r="P182">
        <f t="shared" si="10"/>
        <v>0</v>
      </c>
      <c r="T182" s="18">
        <v>855341.28</v>
      </c>
      <c r="U182" s="18">
        <v>68491.11</v>
      </c>
      <c r="V182" s="19">
        <v>11154</v>
      </c>
      <c r="W182" s="19">
        <v>1E-3</v>
      </c>
      <c r="X182" s="19">
        <v>0</v>
      </c>
      <c r="Y182" s="19">
        <v>0</v>
      </c>
      <c r="Z182" s="19">
        <v>0</v>
      </c>
    </row>
    <row r="183" spans="1:26">
      <c r="A183" s="2">
        <v>45689</v>
      </c>
      <c r="B183" t="s">
        <v>27</v>
      </c>
      <c r="C183" t="s">
        <v>16</v>
      </c>
      <c r="D183" s="5">
        <v>45209.25</v>
      </c>
      <c r="E183">
        <v>9287</v>
      </c>
      <c r="F183">
        <v>0.14099999999999999</v>
      </c>
      <c r="G183">
        <v>22</v>
      </c>
      <c r="H183">
        <v>86.4</v>
      </c>
      <c r="I183">
        <v>13.22</v>
      </c>
      <c r="J183">
        <v>0</v>
      </c>
      <c r="K183">
        <v>3.6</v>
      </c>
      <c r="L183" s="5">
        <v>751393.88</v>
      </c>
      <c r="M183">
        <v>91480.320000000007</v>
      </c>
      <c r="N183">
        <f t="shared" si="8"/>
        <v>0</v>
      </c>
      <c r="O183">
        <f t="shared" si="9"/>
        <v>0</v>
      </c>
      <c r="P183">
        <f t="shared" si="10"/>
        <v>0</v>
      </c>
      <c r="T183" s="18">
        <v>751393.88</v>
      </c>
      <c r="U183" s="18">
        <v>45209.25</v>
      </c>
      <c r="V183" s="19">
        <v>9287</v>
      </c>
      <c r="W183" s="19">
        <v>0.14099999999999999</v>
      </c>
      <c r="X183" s="19">
        <v>0</v>
      </c>
      <c r="Y183" s="19">
        <v>0</v>
      </c>
      <c r="Z183" s="19">
        <v>0</v>
      </c>
    </row>
    <row r="184" spans="1:26">
      <c r="A184" s="2">
        <v>45717</v>
      </c>
      <c r="B184" t="s">
        <v>27</v>
      </c>
      <c r="C184" t="s">
        <v>16</v>
      </c>
      <c r="D184" s="5">
        <v>63010.23</v>
      </c>
      <c r="E184">
        <v>9812</v>
      </c>
      <c r="F184">
        <v>0.113</v>
      </c>
      <c r="G184">
        <v>24</v>
      </c>
      <c r="H184">
        <v>76.8</v>
      </c>
      <c r="I184">
        <v>1.02</v>
      </c>
      <c r="J184">
        <v>1</v>
      </c>
      <c r="K184">
        <v>3.8</v>
      </c>
      <c r="L184" s="5">
        <v>761077.08</v>
      </c>
      <c r="M184">
        <v>113605.93</v>
      </c>
      <c r="N184">
        <f t="shared" si="8"/>
        <v>0</v>
      </c>
      <c r="O184">
        <f t="shared" si="9"/>
        <v>0</v>
      </c>
      <c r="P184">
        <f t="shared" si="10"/>
        <v>0</v>
      </c>
      <c r="T184" s="18">
        <v>761077.08</v>
      </c>
      <c r="U184" s="18">
        <v>63010.23</v>
      </c>
      <c r="V184" s="19">
        <v>9812</v>
      </c>
      <c r="W184" s="19">
        <v>0.113</v>
      </c>
      <c r="X184" s="19">
        <v>0</v>
      </c>
      <c r="Y184" s="19">
        <v>0</v>
      </c>
      <c r="Z184" s="19">
        <v>0</v>
      </c>
    </row>
    <row r="185" spans="1:26">
      <c r="A185" s="2">
        <v>45748</v>
      </c>
      <c r="B185" t="s">
        <v>27</v>
      </c>
      <c r="C185" t="s">
        <v>16</v>
      </c>
      <c r="D185" s="5">
        <v>57948.88</v>
      </c>
      <c r="E185">
        <v>10741</v>
      </c>
      <c r="F185">
        <v>7.0000000000000007E-2</v>
      </c>
      <c r="G185">
        <v>25</v>
      </c>
      <c r="H185">
        <v>90.1</v>
      </c>
      <c r="I185">
        <v>4.03</v>
      </c>
      <c r="J185">
        <v>0</v>
      </c>
      <c r="K185">
        <v>3.1</v>
      </c>
      <c r="L185" s="5">
        <v>819660.59</v>
      </c>
      <c r="M185">
        <v>172699.95</v>
      </c>
      <c r="N185">
        <f t="shared" si="8"/>
        <v>0</v>
      </c>
      <c r="O185">
        <f t="shared" si="9"/>
        <v>0</v>
      </c>
      <c r="P185">
        <f t="shared" si="10"/>
        <v>0</v>
      </c>
      <c r="T185" s="18">
        <v>819660.59</v>
      </c>
      <c r="U185" s="18">
        <v>57948.88</v>
      </c>
      <c r="V185" s="19">
        <v>10741</v>
      </c>
      <c r="W185" s="19">
        <v>7.0000000000000007E-2</v>
      </c>
      <c r="X185" s="19">
        <v>0</v>
      </c>
      <c r="Y185" s="19">
        <v>0</v>
      </c>
      <c r="Z185" s="19">
        <v>0</v>
      </c>
    </row>
    <row r="186" spans="1:26">
      <c r="A186" s="2">
        <v>45658</v>
      </c>
      <c r="B186" t="s">
        <v>20</v>
      </c>
      <c r="C186" t="s">
        <v>18</v>
      </c>
      <c r="D186" s="5">
        <v>71941.62</v>
      </c>
      <c r="E186">
        <v>6084</v>
      </c>
      <c r="F186">
        <v>7.1999999999999995E-2</v>
      </c>
      <c r="G186">
        <v>13</v>
      </c>
      <c r="H186">
        <v>93.7</v>
      </c>
      <c r="I186">
        <v>2.34</v>
      </c>
      <c r="J186">
        <v>0</v>
      </c>
      <c r="K186">
        <v>4.4000000000000004</v>
      </c>
      <c r="L186" s="5">
        <v>681855.56</v>
      </c>
      <c r="M186">
        <v>117645.61</v>
      </c>
      <c r="N186">
        <f t="shared" si="8"/>
        <v>0</v>
      </c>
      <c r="O186">
        <f t="shared" si="9"/>
        <v>1</v>
      </c>
      <c r="P186">
        <f t="shared" si="10"/>
        <v>0</v>
      </c>
      <c r="T186" s="18">
        <v>681855.56</v>
      </c>
      <c r="U186" s="18">
        <v>71941.62</v>
      </c>
      <c r="V186" s="19">
        <v>6084</v>
      </c>
      <c r="W186" s="19">
        <v>7.1999999999999995E-2</v>
      </c>
      <c r="X186" s="19">
        <v>0</v>
      </c>
      <c r="Y186" s="19">
        <v>1</v>
      </c>
      <c r="Z186" s="19">
        <v>0</v>
      </c>
    </row>
    <row r="187" spans="1:26">
      <c r="A187" s="2">
        <v>45689</v>
      </c>
      <c r="B187" t="s">
        <v>20</v>
      </c>
      <c r="C187" t="s">
        <v>18</v>
      </c>
      <c r="D187" s="5">
        <v>57147.88</v>
      </c>
      <c r="E187">
        <v>5252</v>
      </c>
      <c r="F187">
        <v>0.161</v>
      </c>
      <c r="G187">
        <v>15</v>
      </c>
      <c r="H187">
        <v>95.5</v>
      </c>
      <c r="I187">
        <v>8.51</v>
      </c>
      <c r="J187">
        <v>0</v>
      </c>
      <c r="K187">
        <v>4.4000000000000004</v>
      </c>
      <c r="L187" s="5">
        <v>678311.17</v>
      </c>
      <c r="M187">
        <v>132029.76000000001</v>
      </c>
      <c r="N187">
        <f t="shared" si="8"/>
        <v>0</v>
      </c>
      <c r="O187">
        <f t="shared" si="9"/>
        <v>1</v>
      </c>
      <c r="P187">
        <f t="shared" si="10"/>
        <v>0</v>
      </c>
      <c r="T187" s="18">
        <v>678311.17</v>
      </c>
      <c r="U187" s="18">
        <v>57147.88</v>
      </c>
      <c r="V187" s="19">
        <v>5252</v>
      </c>
      <c r="W187" s="19">
        <v>0.161</v>
      </c>
      <c r="X187" s="19">
        <v>0</v>
      </c>
      <c r="Y187" s="19">
        <v>1</v>
      </c>
      <c r="Z187" s="19">
        <v>0</v>
      </c>
    </row>
    <row r="188" spans="1:26">
      <c r="A188" s="2">
        <v>45717</v>
      </c>
      <c r="B188" t="s">
        <v>20</v>
      </c>
      <c r="C188" t="s">
        <v>18</v>
      </c>
      <c r="D188" s="5">
        <v>48031.74</v>
      </c>
      <c r="E188">
        <v>6516</v>
      </c>
      <c r="F188">
        <v>6.7000000000000004E-2</v>
      </c>
      <c r="G188">
        <v>14</v>
      </c>
      <c r="H188">
        <v>99</v>
      </c>
      <c r="I188">
        <v>0.48</v>
      </c>
      <c r="J188">
        <v>1</v>
      </c>
      <c r="K188">
        <v>4.3</v>
      </c>
      <c r="L188" s="5">
        <v>765906.95</v>
      </c>
      <c r="M188">
        <v>114005.9</v>
      </c>
      <c r="N188">
        <f t="shared" si="8"/>
        <v>0</v>
      </c>
      <c r="O188">
        <f t="shared" si="9"/>
        <v>1</v>
      </c>
      <c r="P188">
        <f t="shared" si="10"/>
        <v>0</v>
      </c>
      <c r="T188" s="18">
        <v>765906.95</v>
      </c>
      <c r="U188" s="18">
        <v>48031.74</v>
      </c>
      <c r="V188" s="19">
        <v>6516</v>
      </c>
      <c r="W188" s="19">
        <v>6.7000000000000004E-2</v>
      </c>
      <c r="X188" s="19">
        <v>0</v>
      </c>
      <c r="Y188" s="19">
        <v>1</v>
      </c>
      <c r="Z188" s="19">
        <v>0</v>
      </c>
    </row>
    <row r="189" spans="1:26">
      <c r="A189" s="2">
        <v>45748</v>
      </c>
      <c r="B189" t="s">
        <v>20</v>
      </c>
      <c r="C189" t="s">
        <v>18</v>
      </c>
      <c r="D189" s="5">
        <v>72784.800000000003</v>
      </c>
      <c r="E189">
        <v>7932</v>
      </c>
      <c r="F189">
        <v>9.4E-2</v>
      </c>
      <c r="G189">
        <v>20</v>
      </c>
      <c r="H189">
        <v>74.900000000000006</v>
      </c>
      <c r="I189">
        <v>13.62</v>
      </c>
      <c r="J189">
        <v>0</v>
      </c>
      <c r="K189">
        <v>4.2</v>
      </c>
      <c r="L189" s="5">
        <v>712546.38</v>
      </c>
      <c r="M189">
        <v>101480.04</v>
      </c>
      <c r="N189">
        <f t="shared" si="8"/>
        <v>0</v>
      </c>
      <c r="O189">
        <f t="shared" si="9"/>
        <v>1</v>
      </c>
      <c r="P189">
        <f t="shared" si="10"/>
        <v>0</v>
      </c>
      <c r="T189" s="18">
        <v>712546.38</v>
      </c>
      <c r="U189" s="18">
        <v>72784.800000000003</v>
      </c>
      <c r="V189" s="19">
        <v>7932</v>
      </c>
      <c r="W189" s="19">
        <v>9.4E-2</v>
      </c>
      <c r="X189" s="19">
        <v>0</v>
      </c>
      <c r="Y189" s="19">
        <v>1</v>
      </c>
      <c r="Z189" s="19">
        <v>0</v>
      </c>
    </row>
    <row r="190" spans="1:26">
      <c r="A190" s="2">
        <v>45658</v>
      </c>
      <c r="B190" t="s">
        <v>15</v>
      </c>
      <c r="C190" t="s">
        <v>18</v>
      </c>
      <c r="D190" s="5">
        <v>71641.899999999994</v>
      </c>
      <c r="E190">
        <v>3506</v>
      </c>
      <c r="F190">
        <v>0</v>
      </c>
      <c r="G190">
        <v>11</v>
      </c>
      <c r="H190">
        <v>86.4</v>
      </c>
      <c r="I190">
        <v>7.77</v>
      </c>
      <c r="J190">
        <v>0</v>
      </c>
      <c r="K190">
        <v>4.0999999999999996</v>
      </c>
      <c r="L190" s="5">
        <v>625993.82999999996</v>
      </c>
      <c r="M190">
        <v>98960.320000000007</v>
      </c>
      <c r="N190">
        <f t="shared" si="8"/>
        <v>0</v>
      </c>
      <c r="O190">
        <f t="shared" si="9"/>
        <v>1</v>
      </c>
      <c r="P190">
        <f t="shared" si="10"/>
        <v>0</v>
      </c>
      <c r="T190" s="18">
        <v>625993.82999999996</v>
      </c>
      <c r="U190" s="18">
        <v>71641.899999999994</v>
      </c>
      <c r="V190" s="19">
        <v>3506</v>
      </c>
      <c r="W190" s="19">
        <v>0</v>
      </c>
      <c r="X190" s="19">
        <v>0</v>
      </c>
      <c r="Y190" s="19">
        <v>1</v>
      </c>
      <c r="Z190" s="19">
        <v>0</v>
      </c>
    </row>
    <row r="191" spans="1:26">
      <c r="A191" s="2">
        <v>45689</v>
      </c>
      <c r="B191" t="s">
        <v>15</v>
      </c>
      <c r="C191" t="s">
        <v>18</v>
      </c>
      <c r="D191" s="5">
        <v>55788.61</v>
      </c>
      <c r="E191">
        <v>2312</v>
      </c>
      <c r="F191">
        <v>5.8000000000000003E-2</v>
      </c>
      <c r="G191">
        <v>10</v>
      </c>
      <c r="H191">
        <v>91.3</v>
      </c>
      <c r="I191">
        <v>1.99</v>
      </c>
      <c r="J191">
        <v>0</v>
      </c>
      <c r="K191">
        <v>3.8</v>
      </c>
      <c r="L191" s="5">
        <v>550962.93000000005</v>
      </c>
      <c r="M191">
        <v>97144.58</v>
      </c>
      <c r="N191">
        <f t="shared" si="8"/>
        <v>0</v>
      </c>
      <c r="O191">
        <f t="shared" si="9"/>
        <v>1</v>
      </c>
      <c r="P191">
        <f t="shared" si="10"/>
        <v>0</v>
      </c>
      <c r="T191" s="18">
        <v>550962.93000000005</v>
      </c>
      <c r="U191" s="18">
        <v>55788.61</v>
      </c>
      <c r="V191" s="19">
        <v>2312</v>
      </c>
      <c r="W191" s="19">
        <v>5.8000000000000003E-2</v>
      </c>
      <c r="X191" s="19">
        <v>0</v>
      </c>
      <c r="Y191" s="19">
        <v>1</v>
      </c>
      <c r="Z191" s="19">
        <v>0</v>
      </c>
    </row>
    <row r="192" spans="1:26">
      <c r="A192" s="2">
        <v>45717</v>
      </c>
      <c r="B192" t="s">
        <v>15</v>
      </c>
      <c r="C192" t="s">
        <v>18</v>
      </c>
      <c r="D192" s="5">
        <v>37705.879999999997</v>
      </c>
      <c r="E192">
        <v>1268</v>
      </c>
      <c r="F192">
        <v>0.25900000000000001</v>
      </c>
      <c r="G192">
        <v>9</v>
      </c>
      <c r="H192">
        <v>84.1</v>
      </c>
      <c r="I192">
        <v>4.7699999999999996</v>
      </c>
      <c r="J192">
        <v>0</v>
      </c>
      <c r="K192">
        <v>3.8</v>
      </c>
      <c r="L192" s="5">
        <v>443275.59</v>
      </c>
      <c r="M192">
        <v>53544.36</v>
      </c>
      <c r="N192">
        <f t="shared" si="8"/>
        <v>0</v>
      </c>
      <c r="O192">
        <f t="shared" si="9"/>
        <v>1</v>
      </c>
      <c r="P192">
        <f t="shared" si="10"/>
        <v>0</v>
      </c>
      <c r="T192" s="18">
        <v>443275.59</v>
      </c>
      <c r="U192" s="18">
        <v>37705.879999999997</v>
      </c>
      <c r="V192" s="19">
        <v>1268</v>
      </c>
      <c r="W192" s="19">
        <v>0.25900000000000001</v>
      </c>
      <c r="X192" s="19">
        <v>0</v>
      </c>
      <c r="Y192" s="19">
        <v>1</v>
      </c>
      <c r="Z192" s="19">
        <v>0</v>
      </c>
    </row>
    <row r="193" spans="1:26">
      <c r="A193" s="2">
        <v>45748</v>
      </c>
      <c r="B193" t="s">
        <v>15</v>
      </c>
      <c r="C193" t="s">
        <v>18</v>
      </c>
      <c r="D193" s="5">
        <v>54966.18</v>
      </c>
      <c r="E193">
        <v>4423</v>
      </c>
      <c r="F193">
        <v>0.186</v>
      </c>
      <c r="G193">
        <v>13</v>
      </c>
      <c r="H193">
        <v>88.7</v>
      </c>
      <c r="I193">
        <v>0.2</v>
      </c>
      <c r="J193">
        <v>0</v>
      </c>
      <c r="K193">
        <v>4.4000000000000004</v>
      </c>
      <c r="L193" s="5">
        <v>554012.06999999995</v>
      </c>
      <c r="M193">
        <v>81101.62</v>
      </c>
      <c r="N193">
        <f t="shared" si="8"/>
        <v>0</v>
      </c>
      <c r="O193">
        <f t="shared" si="9"/>
        <v>1</v>
      </c>
      <c r="P193">
        <f t="shared" si="10"/>
        <v>0</v>
      </c>
      <c r="T193" s="18">
        <v>554012.06999999995</v>
      </c>
      <c r="U193" s="18">
        <v>54966.18</v>
      </c>
      <c r="V193" s="19">
        <v>4423</v>
      </c>
      <c r="W193" s="19">
        <v>0.186</v>
      </c>
      <c r="X193" s="19">
        <v>0</v>
      </c>
      <c r="Y193" s="19">
        <v>1</v>
      </c>
      <c r="Z193" s="19">
        <v>0</v>
      </c>
    </row>
    <row r="194" spans="1:26">
      <c r="A194" s="2">
        <v>45658</v>
      </c>
      <c r="B194" t="s">
        <v>27</v>
      </c>
      <c r="C194" t="s">
        <v>16</v>
      </c>
      <c r="D194" s="5">
        <v>81796.740000000005</v>
      </c>
      <c r="E194">
        <v>6177</v>
      </c>
      <c r="F194">
        <v>0.16400000000000001</v>
      </c>
      <c r="G194">
        <v>14</v>
      </c>
      <c r="H194">
        <v>87.9</v>
      </c>
      <c r="I194">
        <v>0.53</v>
      </c>
      <c r="J194">
        <v>0</v>
      </c>
      <c r="K194">
        <v>3.2</v>
      </c>
      <c r="L194" s="5">
        <v>643428.85</v>
      </c>
      <c r="M194">
        <v>94477.63</v>
      </c>
      <c r="N194">
        <f t="shared" si="8"/>
        <v>0</v>
      </c>
      <c r="O194">
        <f t="shared" si="9"/>
        <v>0</v>
      </c>
      <c r="P194">
        <f t="shared" si="10"/>
        <v>0</v>
      </c>
      <c r="T194" s="18">
        <v>643428.85</v>
      </c>
      <c r="U194" s="18">
        <v>81796.740000000005</v>
      </c>
      <c r="V194" s="19">
        <v>6177</v>
      </c>
      <c r="W194" s="19">
        <v>0.16400000000000001</v>
      </c>
      <c r="X194" s="19">
        <v>0</v>
      </c>
      <c r="Y194" s="19">
        <v>0</v>
      </c>
      <c r="Z194" s="19">
        <v>0</v>
      </c>
    </row>
    <row r="195" spans="1:26">
      <c r="A195" s="2">
        <v>45689</v>
      </c>
      <c r="B195" t="s">
        <v>27</v>
      </c>
      <c r="C195" t="s">
        <v>16</v>
      </c>
      <c r="D195" s="5">
        <v>51133.43</v>
      </c>
      <c r="E195">
        <v>5150</v>
      </c>
      <c r="F195">
        <v>0.15</v>
      </c>
      <c r="G195">
        <v>12</v>
      </c>
      <c r="H195">
        <v>88.5</v>
      </c>
      <c r="I195">
        <v>1.54</v>
      </c>
      <c r="J195">
        <v>0</v>
      </c>
      <c r="K195">
        <v>3.2</v>
      </c>
      <c r="L195" s="5">
        <v>611924.27</v>
      </c>
      <c r="M195">
        <v>115488.75</v>
      </c>
      <c r="N195">
        <f t="shared" ref="N195:N258" si="11">IF(C195="Mall", 1, 0)</f>
        <v>0</v>
      </c>
      <c r="O195">
        <f t="shared" si="9"/>
        <v>0</v>
      </c>
      <c r="P195">
        <f t="shared" si="10"/>
        <v>0</v>
      </c>
      <c r="T195" s="18">
        <v>611924.27</v>
      </c>
      <c r="U195" s="18">
        <v>51133.43</v>
      </c>
      <c r="V195" s="19">
        <v>5150</v>
      </c>
      <c r="W195" s="19">
        <v>0.15</v>
      </c>
      <c r="X195" s="19">
        <v>0</v>
      </c>
      <c r="Y195" s="19">
        <v>0</v>
      </c>
      <c r="Z195" s="19">
        <v>0</v>
      </c>
    </row>
    <row r="196" spans="1:26">
      <c r="A196" s="2">
        <v>45717</v>
      </c>
      <c r="B196" t="s">
        <v>27</v>
      </c>
      <c r="C196" t="s">
        <v>16</v>
      </c>
      <c r="D196" s="5">
        <v>40220.18</v>
      </c>
      <c r="E196">
        <v>3783</v>
      </c>
      <c r="F196">
        <v>8.8999999999999996E-2</v>
      </c>
      <c r="G196">
        <v>14</v>
      </c>
      <c r="H196">
        <v>86.6</v>
      </c>
      <c r="I196">
        <v>3.63</v>
      </c>
      <c r="J196">
        <v>0</v>
      </c>
      <c r="K196">
        <v>3.7</v>
      </c>
      <c r="L196" s="5">
        <v>559422.02</v>
      </c>
      <c r="M196">
        <v>73528.740000000005</v>
      </c>
      <c r="N196">
        <f t="shared" si="11"/>
        <v>0</v>
      </c>
      <c r="O196">
        <f t="shared" si="9"/>
        <v>0</v>
      </c>
      <c r="P196">
        <f t="shared" si="10"/>
        <v>0</v>
      </c>
      <c r="T196" s="18">
        <v>559422.02</v>
      </c>
      <c r="U196" s="18">
        <v>40220.18</v>
      </c>
      <c r="V196" s="19">
        <v>3783</v>
      </c>
      <c r="W196" s="19">
        <v>8.8999999999999996E-2</v>
      </c>
      <c r="X196" s="19">
        <v>0</v>
      </c>
      <c r="Y196" s="19">
        <v>0</v>
      </c>
      <c r="Z196" s="19">
        <v>0</v>
      </c>
    </row>
    <row r="197" spans="1:26">
      <c r="A197" s="2">
        <v>45748</v>
      </c>
      <c r="B197" t="s">
        <v>27</v>
      </c>
      <c r="C197" t="s">
        <v>16</v>
      </c>
      <c r="D197" s="5">
        <v>41657.64</v>
      </c>
      <c r="E197">
        <v>3135</v>
      </c>
      <c r="F197">
        <v>0.22900000000000001</v>
      </c>
      <c r="G197">
        <v>7</v>
      </c>
      <c r="H197">
        <v>85.4</v>
      </c>
      <c r="I197">
        <v>13.48</v>
      </c>
      <c r="J197">
        <v>0</v>
      </c>
      <c r="L197" s="5">
        <v>449465.06</v>
      </c>
      <c r="M197">
        <v>65694.78</v>
      </c>
      <c r="N197">
        <f t="shared" si="11"/>
        <v>0</v>
      </c>
      <c r="O197">
        <f t="shared" si="9"/>
        <v>0</v>
      </c>
      <c r="P197">
        <f t="shared" si="10"/>
        <v>0</v>
      </c>
      <c r="T197" s="18">
        <v>449465.06</v>
      </c>
      <c r="U197" s="18">
        <v>41657.64</v>
      </c>
      <c r="V197" s="19">
        <v>3135</v>
      </c>
      <c r="W197" s="19">
        <v>0.22900000000000001</v>
      </c>
      <c r="X197" s="19">
        <v>0</v>
      </c>
      <c r="Y197" s="19">
        <v>0</v>
      </c>
      <c r="Z197" s="19">
        <v>0</v>
      </c>
    </row>
    <row r="198" spans="1:26">
      <c r="A198" s="2">
        <v>45658</v>
      </c>
      <c r="B198" t="s">
        <v>20</v>
      </c>
      <c r="C198" t="s">
        <v>16</v>
      </c>
      <c r="D198" s="5">
        <v>71851.45</v>
      </c>
      <c r="E198">
        <v>4970</v>
      </c>
      <c r="F198">
        <v>9.8000000000000004E-2</v>
      </c>
      <c r="G198">
        <v>11</v>
      </c>
      <c r="H198">
        <v>89.6</v>
      </c>
      <c r="I198">
        <v>0.2</v>
      </c>
      <c r="J198">
        <v>0</v>
      </c>
      <c r="K198">
        <v>4.2</v>
      </c>
      <c r="L198" s="5">
        <v>691447.43</v>
      </c>
      <c r="M198">
        <v>114077.69</v>
      </c>
      <c r="N198">
        <f t="shared" si="11"/>
        <v>0</v>
      </c>
      <c r="O198">
        <f t="shared" si="9"/>
        <v>0</v>
      </c>
      <c r="P198">
        <f t="shared" si="10"/>
        <v>0</v>
      </c>
      <c r="T198" s="18">
        <v>691447.43</v>
      </c>
      <c r="U198" s="18">
        <v>71851.45</v>
      </c>
      <c r="V198" s="19">
        <v>4970</v>
      </c>
      <c r="W198" s="19">
        <v>9.8000000000000004E-2</v>
      </c>
      <c r="X198" s="19">
        <v>0</v>
      </c>
      <c r="Y198" s="19">
        <v>0</v>
      </c>
      <c r="Z198" s="19">
        <v>0</v>
      </c>
    </row>
    <row r="199" spans="1:26">
      <c r="A199" s="2">
        <v>45689</v>
      </c>
      <c r="B199" t="s">
        <v>20</v>
      </c>
      <c r="C199" t="s">
        <v>16</v>
      </c>
      <c r="D199" s="5">
        <v>54002.83</v>
      </c>
      <c r="E199">
        <v>4366</v>
      </c>
      <c r="F199">
        <v>2.7E-2</v>
      </c>
      <c r="G199">
        <v>15</v>
      </c>
      <c r="H199">
        <v>90.6</v>
      </c>
      <c r="I199">
        <v>12.82</v>
      </c>
      <c r="J199">
        <v>0</v>
      </c>
      <c r="K199">
        <v>4.5999999999999996</v>
      </c>
      <c r="L199" s="5">
        <v>574066.61</v>
      </c>
      <c r="M199">
        <v>124674.67</v>
      </c>
      <c r="N199">
        <f t="shared" si="11"/>
        <v>0</v>
      </c>
      <c r="O199">
        <f t="shared" si="9"/>
        <v>0</v>
      </c>
      <c r="P199">
        <f t="shared" si="10"/>
        <v>0</v>
      </c>
      <c r="T199" s="18">
        <v>574066.61</v>
      </c>
      <c r="U199" s="18">
        <v>54002.83</v>
      </c>
      <c r="V199" s="19">
        <v>4366</v>
      </c>
      <c r="W199" s="19">
        <v>2.7E-2</v>
      </c>
      <c r="X199" s="19">
        <v>0</v>
      </c>
      <c r="Y199" s="19">
        <v>0</v>
      </c>
      <c r="Z199" s="19">
        <v>0</v>
      </c>
    </row>
    <row r="200" spans="1:26">
      <c r="A200" s="2">
        <v>45717</v>
      </c>
      <c r="B200" t="s">
        <v>20</v>
      </c>
      <c r="C200" t="s">
        <v>16</v>
      </c>
      <c r="D200" s="5">
        <v>54479.33</v>
      </c>
      <c r="E200">
        <v>5012</v>
      </c>
      <c r="F200">
        <v>0.28399999999999997</v>
      </c>
      <c r="G200">
        <v>13</v>
      </c>
      <c r="H200">
        <v>86</v>
      </c>
      <c r="I200">
        <v>2.2400000000000002</v>
      </c>
      <c r="J200">
        <v>1</v>
      </c>
      <c r="K200">
        <v>4.3</v>
      </c>
      <c r="L200" s="5">
        <v>578949.84</v>
      </c>
      <c r="M200">
        <v>80253.649999999994</v>
      </c>
      <c r="N200">
        <f t="shared" si="11"/>
        <v>0</v>
      </c>
      <c r="O200">
        <f t="shared" si="9"/>
        <v>0</v>
      </c>
      <c r="P200">
        <f t="shared" si="10"/>
        <v>0</v>
      </c>
      <c r="T200" s="18">
        <v>578949.84</v>
      </c>
      <c r="U200" s="18">
        <v>54479.33</v>
      </c>
      <c r="V200" s="19">
        <v>5012</v>
      </c>
      <c r="W200" s="19">
        <v>0.28399999999999997</v>
      </c>
      <c r="X200" s="19">
        <v>0</v>
      </c>
      <c r="Y200" s="19">
        <v>0</v>
      </c>
      <c r="Z200" s="19">
        <v>0</v>
      </c>
    </row>
    <row r="201" spans="1:26">
      <c r="A201" s="2">
        <v>45748</v>
      </c>
      <c r="B201" t="s">
        <v>20</v>
      </c>
      <c r="C201" t="s">
        <v>16</v>
      </c>
      <c r="D201" s="5">
        <v>61391.8</v>
      </c>
      <c r="E201">
        <v>5575</v>
      </c>
      <c r="F201">
        <v>0.189</v>
      </c>
      <c r="G201">
        <v>18</v>
      </c>
      <c r="H201">
        <v>90</v>
      </c>
      <c r="I201">
        <v>1.8</v>
      </c>
      <c r="J201">
        <v>0</v>
      </c>
      <c r="K201">
        <v>4.8</v>
      </c>
      <c r="L201" s="5">
        <v>735786.64</v>
      </c>
      <c r="M201">
        <v>126540.66</v>
      </c>
      <c r="N201">
        <f t="shared" si="11"/>
        <v>0</v>
      </c>
      <c r="O201">
        <f t="shared" si="9"/>
        <v>0</v>
      </c>
      <c r="P201">
        <f t="shared" si="10"/>
        <v>0</v>
      </c>
      <c r="T201" s="18">
        <v>735786.64</v>
      </c>
      <c r="U201" s="18">
        <v>61391.8</v>
      </c>
      <c r="V201" s="19">
        <v>5575</v>
      </c>
      <c r="W201" s="19">
        <v>0.189</v>
      </c>
      <c r="X201" s="19">
        <v>0</v>
      </c>
      <c r="Y201" s="19">
        <v>0</v>
      </c>
      <c r="Z201" s="19">
        <v>0</v>
      </c>
    </row>
    <row r="202" spans="1:26">
      <c r="A202" s="2">
        <v>45658</v>
      </c>
      <c r="B202" t="s">
        <v>15</v>
      </c>
      <c r="C202" t="s">
        <v>21</v>
      </c>
      <c r="D202" s="5">
        <v>22312.93</v>
      </c>
      <c r="E202">
        <v>5955</v>
      </c>
      <c r="F202">
        <v>0.123</v>
      </c>
      <c r="G202">
        <v>13</v>
      </c>
      <c r="H202">
        <v>84.2</v>
      </c>
      <c r="I202">
        <v>0.41</v>
      </c>
      <c r="J202">
        <v>1</v>
      </c>
      <c r="K202">
        <v>4.5999999999999996</v>
      </c>
      <c r="L202" s="5">
        <v>598904.9</v>
      </c>
      <c r="M202">
        <v>72861</v>
      </c>
      <c r="N202">
        <f t="shared" si="11"/>
        <v>0</v>
      </c>
      <c r="O202">
        <f t="shared" si="9"/>
        <v>0</v>
      </c>
      <c r="P202">
        <f t="shared" si="10"/>
        <v>1</v>
      </c>
      <c r="T202" s="18">
        <v>598904.9</v>
      </c>
      <c r="U202" s="18">
        <v>22312.93</v>
      </c>
      <c r="V202" s="19">
        <v>5955</v>
      </c>
      <c r="W202" s="19">
        <v>0.123</v>
      </c>
      <c r="X202" s="19">
        <v>0</v>
      </c>
      <c r="Y202" s="19">
        <v>0</v>
      </c>
      <c r="Z202" s="19">
        <v>1</v>
      </c>
    </row>
    <row r="203" spans="1:26">
      <c r="A203" s="2">
        <v>45689</v>
      </c>
      <c r="B203" t="s">
        <v>15</v>
      </c>
      <c r="C203" t="s">
        <v>21</v>
      </c>
      <c r="D203" s="5">
        <v>78111.97</v>
      </c>
      <c r="E203">
        <v>6389</v>
      </c>
      <c r="F203">
        <v>0.15</v>
      </c>
      <c r="G203">
        <v>13</v>
      </c>
      <c r="H203">
        <v>83.9</v>
      </c>
      <c r="I203">
        <v>3.05</v>
      </c>
      <c r="J203">
        <v>0</v>
      </c>
      <c r="K203">
        <v>4.8</v>
      </c>
      <c r="L203" s="5">
        <v>787715.51</v>
      </c>
      <c r="M203">
        <v>128969.62</v>
      </c>
      <c r="N203">
        <f t="shared" si="11"/>
        <v>0</v>
      </c>
      <c r="O203">
        <f t="shared" ref="O203:O266" si="12">IF(C203="High Street", 1, 0)</f>
        <v>0</v>
      </c>
      <c r="P203">
        <f t="shared" ref="P203:P266" si="13">IF(C203="airport", 1, 0)</f>
        <v>1</v>
      </c>
      <c r="T203" s="18">
        <v>787715.51</v>
      </c>
      <c r="U203" s="18">
        <v>78111.97</v>
      </c>
      <c r="V203" s="19">
        <v>6389</v>
      </c>
      <c r="W203" s="19">
        <v>0.15</v>
      </c>
      <c r="X203" s="19">
        <v>0</v>
      </c>
      <c r="Y203" s="19">
        <v>0</v>
      </c>
      <c r="Z203" s="19">
        <v>1</v>
      </c>
    </row>
    <row r="204" spans="1:26">
      <c r="A204" s="2">
        <v>45717</v>
      </c>
      <c r="B204" t="s">
        <v>15</v>
      </c>
      <c r="C204" t="s">
        <v>21</v>
      </c>
      <c r="D204" s="5">
        <v>35203.230000000003</v>
      </c>
      <c r="E204">
        <v>6896</v>
      </c>
      <c r="F204">
        <v>3.2000000000000001E-2</v>
      </c>
      <c r="G204">
        <v>14</v>
      </c>
      <c r="H204">
        <v>80.8</v>
      </c>
      <c r="I204">
        <v>8.44</v>
      </c>
      <c r="J204">
        <v>1</v>
      </c>
      <c r="K204">
        <v>5</v>
      </c>
      <c r="L204" s="5">
        <v>607084.92000000004</v>
      </c>
      <c r="M204">
        <v>98558.49</v>
      </c>
      <c r="N204">
        <f t="shared" si="11"/>
        <v>0</v>
      </c>
      <c r="O204">
        <f t="shared" si="12"/>
        <v>0</v>
      </c>
      <c r="P204">
        <f t="shared" si="13"/>
        <v>1</v>
      </c>
      <c r="T204" s="18">
        <v>607084.92000000004</v>
      </c>
      <c r="U204" s="18">
        <v>35203.230000000003</v>
      </c>
      <c r="V204" s="19">
        <v>6896</v>
      </c>
      <c r="W204" s="19">
        <v>3.2000000000000001E-2</v>
      </c>
      <c r="X204" s="19">
        <v>0</v>
      </c>
      <c r="Y204" s="19">
        <v>0</v>
      </c>
      <c r="Z204" s="19">
        <v>1</v>
      </c>
    </row>
    <row r="205" spans="1:26">
      <c r="A205" s="2">
        <v>45748</v>
      </c>
      <c r="B205" t="s">
        <v>15</v>
      </c>
      <c r="C205" t="s">
        <v>21</v>
      </c>
      <c r="D205" s="5">
        <v>64104.28</v>
      </c>
      <c r="E205">
        <v>6015</v>
      </c>
      <c r="F205">
        <v>0.127</v>
      </c>
      <c r="G205">
        <v>15</v>
      </c>
      <c r="H205">
        <v>88.7</v>
      </c>
      <c r="I205">
        <v>0.78</v>
      </c>
      <c r="J205">
        <v>0</v>
      </c>
      <c r="K205">
        <v>4</v>
      </c>
      <c r="L205" s="5">
        <v>650795.49</v>
      </c>
      <c r="M205">
        <v>103035.89</v>
      </c>
      <c r="N205">
        <f t="shared" si="11"/>
        <v>0</v>
      </c>
      <c r="O205">
        <f t="shared" si="12"/>
        <v>0</v>
      </c>
      <c r="P205">
        <f t="shared" si="13"/>
        <v>1</v>
      </c>
      <c r="T205" s="18">
        <v>650795.49</v>
      </c>
      <c r="U205" s="18">
        <v>64104.28</v>
      </c>
      <c r="V205" s="19">
        <v>6015</v>
      </c>
      <c r="W205" s="19">
        <v>0.127</v>
      </c>
      <c r="X205" s="19">
        <v>0</v>
      </c>
      <c r="Y205" s="19">
        <v>0</v>
      </c>
      <c r="Z205" s="19">
        <v>1</v>
      </c>
    </row>
    <row r="206" spans="1:26">
      <c r="A206" s="2">
        <v>45658</v>
      </c>
      <c r="B206" t="s">
        <v>15</v>
      </c>
      <c r="C206" t="s">
        <v>28</v>
      </c>
      <c r="D206" s="5">
        <v>92090.14</v>
      </c>
      <c r="E206">
        <v>9476</v>
      </c>
      <c r="F206">
        <v>7.0000000000000007E-2</v>
      </c>
      <c r="G206">
        <v>24</v>
      </c>
      <c r="H206">
        <v>94.3</v>
      </c>
      <c r="I206">
        <v>0.87</v>
      </c>
      <c r="J206">
        <v>0</v>
      </c>
      <c r="K206">
        <v>3.7</v>
      </c>
      <c r="L206" s="5">
        <v>825060.52</v>
      </c>
      <c r="M206">
        <v>143613.15</v>
      </c>
      <c r="N206">
        <f t="shared" si="11"/>
        <v>1</v>
      </c>
      <c r="O206">
        <f t="shared" si="12"/>
        <v>0</v>
      </c>
      <c r="P206">
        <f t="shared" si="13"/>
        <v>0</v>
      </c>
      <c r="T206" s="18">
        <v>825060.52</v>
      </c>
      <c r="U206" s="18">
        <v>92090.14</v>
      </c>
      <c r="V206" s="19">
        <v>9476</v>
      </c>
      <c r="W206" s="19">
        <v>7.0000000000000007E-2</v>
      </c>
      <c r="X206" s="19">
        <v>1</v>
      </c>
      <c r="Y206" s="19">
        <v>0</v>
      </c>
      <c r="Z206" s="19">
        <v>0</v>
      </c>
    </row>
    <row r="207" spans="1:26">
      <c r="A207" s="2">
        <v>45689</v>
      </c>
      <c r="B207" t="s">
        <v>15</v>
      </c>
      <c r="C207" t="s">
        <v>28</v>
      </c>
      <c r="D207" s="5">
        <v>54300.87</v>
      </c>
      <c r="E207">
        <v>7875</v>
      </c>
      <c r="F207">
        <v>0.107</v>
      </c>
      <c r="G207">
        <v>19</v>
      </c>
      <c r="H207">
        <v>94.1</v>
      </c>
      <c r="I207">
        <v>0.95</v>
      </c>
      <c r="J207">
        <v>0</v>
      </c>
      <c r="K207">
        <v>3.7</v>
      </c>
      <c r="L207" s="5">
        <v>795464.47</v>
      </c>
      <c r="M207">
        <v>161150.51999999999</v>
      </c>
      <c r="N207">
        <f t="shared" si="11"/>
        <v>1</v>
      </c>
      <c r="O207">
        <f t="shared" si="12"/>
        <v>0</v>
      </c>
      <c r="P207">
        <f t="shared" si="13"/>
        <v>0</v>
      </c>
      <c r="T207" s="18">
        <v>795464.47</v>
      </c>
      <c r="U207" s="18">
        <v>54300.87</v>
      </c>
      <c r="V207" s="19">
        <v>7875</v>
      </c>
      <c r="W207" s="19">
        <v>0.107</v>
      </c>
      <c r="X207" s="19">
        <v>1</v>
      </c>
      <c r="Y207" s="19">
        <v>0</v>
      </c>
      <c r="Z207" s="19">
        <v>0</v>
      </c>
    </row>
    <row r="208" spans="1:26">
      <c r="A208" s="2">
        <v>45717</v>
      </c>
      <c r="B208" t="s">
        <v>15</v>
      </c>
      <c r="C208" t="s">
        <v>28</v>
      </c>
      <c r="D208" s="5">
        <v>37983.35</v>
      </c>
      <c r="E208">
        <v>9283</v>
      </c>
      <c r="F208">
        <v>0.14899999999999999</v>
      </c>
      <c r="G208">
        <v>19</v>
      </c>
      <c r="H208">
        <v>83.2</v>
      </c>
      <c r="I208">
        <v>3.82</v>
      </c>
      <c r="J208">
        <v>0</v>
      </c>
      <c r="K208">
        <v>3.7</v>
      </c>
      <c r="L208" s="5">
        <v>671868.59</v>
      </c>
      <c r="M208">
        <v>71003.28</v>
      </c>
      <c r="N208">
        <f t="shared" si="11"/>
        <v>1</v>
      </c>
      <c r="O208">
        <f t="shared" si="12"/>
        <v>0</v>
      </c>
      <c r="P208">
        <f t="shared" si="13"/>
        <v>0</v>
      </c>
      <c r="T208" s="18">
        <v>671868.59</v>
      </c>
      <c r="U208" s="18">
        <v>37983.35</v>
      </c>
      <c r="V208" s="19">
        <v>9283</v>
      </c>
      <c r="W208" s="19">
        <v>0.14899999999999999</v>
      </c>
      <c r="X208" s="19">
        <v>1</v>
      </c>
      <c r="Y208" s="19">
        <v>0</v>
      </c>
      <c r="Z208" s="19">
        <v>0</v>
      </c>
    </row>
    <row r="209" spans="1:26">
      <c r="A209" s="2">
        <v>45748</v>
      </c>
      <c r="B209" t="s">
        <v>15</v>
      </c>
      <c r="C209" t="s">
        <v>28</v>
      </c>
      <c r="D209" s="5">
        <v>56413.83</v>
      </c>
      <c r="E209">
        <v>8303</v>
      </c>
      <c r="F209">
        <v>0.11600000000000001</v>
      </c>
      <c r="G209">
        <v>18</v>
      </c>
      <c r="H209">
        <v>93.6</v>
      </c>
      <c r="I209">
        <v>2.7</v>
      </c>
      <c r="J209">
        <v>0</v>
      </c>
      <c r="K209">
        <v>3.7</v>
      </c>
      <c r="L209" s="5">
        <v>675917.63</v>
      </c>
      <c r="M209">
        <v>112564.75</v>
      </c>
      <c r="N209">
        <f t="shared" si="11"/>
        <v>1</v>
      </c>
      <c r="O209">
        <f t="shared" si="12"/>
        <v>0</v>
      </c>
      <c r="P209">
        <f t="shared" si="13"/>
        <v>0</v>
      </c>
      <c r="T209" s="18">
        <v>675917.63</v>
      </c>
      <c r="U209" s="18">
        <v>56413.83</v>
      </c>
      <c r="V209" s="19">
        <v>8303</v>
      </c>
      <c r="W209" s="19">
        <v>0.11600000000000001</v>
      </c>
      <c r="X209" s="19">
        <v>1</v>
      </c>
      <c r="Y209" s="19">
        <v>0</v>
      </c>
      <c r="Z209" s="19">
        <v>0</v>
      </c>
    </row>
    <row r="210" spans="1:26">
      <c r="A210" s="2">
        <v>45658</v>
      </c>
      <c r="B210" t="s">
        <v>15</v>
      </c>
      <c r="C210" t="s">
        <v>18</v>
      </c>
      <c r="D210" s="5">
        <v>63457.19</v>
      </c>
      <c r="E210">
        <v>10125</v>
      </c>
      <c r="F210">
        <v>9.7000000000000003E-2</v>
      </c>
      <c r="G210">
        <v>24</v>
      </c>
      <c r="H210">
        <v>87</v>
      </c>
      <c r="I210">
        <v>3.84</v>
      </c>
      <c r="J210">
        <v>1</v>
      </c>
      <c r="K210">
        <v>3.7</v>
      </c>
      <c r="L210" s="5">
        <v>810446.53</v>
      </c>
      <c r="M210">
        <v>200575.34</v>
      </c>
      <c r="N210">
        <f t="shared" si="11"/>
        <v>0</v>
      </c>
      <c r="O210">
        <f t="shared" si="12"/>
        <v>1</v>
      </c>
      <c r="P210">
        <f t="shared" si="13"/>
        <v>0</v>
      </c>
      <c r="T210" s="18">
        <v>810446.53</v>
      </c>
      <c r="U210" s="18">
        <v>63457.19</v>
      </c>
      <c r="V210" s="19">
        <v>10125</v>
      </c>
      <c r="W210" s="19">
        <v>9.7000000000000003E-2</v>
      </c>
      <c r="X210" s="19">
        <v>0</v>
      </c>
      <c r="Y210" s="19">
        <v>1</v>
      </c>
      <c r="Z210" s="19">
        <v>0</v>
      </c>
    </row>
    <row r="211" spans="1:26">
      <c r="A211" s="2">
        <v>45689</v>
      </c>
      <c r="B211" t="s">
        <v>15</v>
      </c>
      <c r="C211" t="s">
        <v>18</v>
      </c>
      <c r="D211" s="5">
        <v>62949.7</v>
      </c>
      <c r="E211">
        <v>9458</v>
      </c>
      <c r="F211">
        <v>0.17100000000000001</v>
      </c>
      <c r="G211">
        <v>19</v>
      </c>
      <c r="H211">
        <v>84.9</v>
      </c>
      <c r="I211">
        <v>5.09</v>
      </c>
      <c r="J211">
        <v>0</v>
      </c>
      <c r="K211">
        <v>3.3</v>
      </c>
      <c r="L211" s="5">
        <v>691288.19</v>
      </c>
      <c r="M211">
        <v>159074.14000000001</v>
      </c>
      <c r="N211">
        <f t="shared" si="11"/>
        <v>0</v>
      </c>
      <c r="O211">
        <f t="shared" si="12"/>
        <v>1</v>
      </c>
      <c r="P211">
        <f t="shared" si="13"/>
        <v>0</v>
      </c>
      <c r="T211" s="18">
        <v>691288.19</v>
      </c>
      <c r="U211" s="18">
        <v>62949.7</v>
      </c>
      <c r="V211" s="19">
        <v>9458</v>
      </c>
      <c r="W211" s="19">
        <v>0.17100000000000001</v>
      </c>
      <c r="X211" s="19">
        <v>0</v>
      </c>
      <c r="Y211" s="19">
        <v>1</v>
      </c>
      <c r="Z211" s="19">
        <v>0</v>
      </c>
    </row>
    <row r="212" spans="1:26">
      <c r="A212" s="2">
        <v>45717</v>
      </c>
      <c r="B212" t="s">
        <v>15</v>
      </c>
      <c r="C212" t="s">
        <v>18</v>
      </c>
      <c r="D212" s="5">
        <v>107970.19</v>
      </c>
      <c r="E212">
        <v>12870</v>
      </c>
      <c r="F212">
        <v>2.9000000000000001E-2</v>
      </c>
      <c r="G212">
        <v>31</v>
      </c>
      <c r="H212">
        <v>91.7</v>
      </c>
      <c r="I212">
        <v>3.82</v>
      </c>
      <c r="J212">
        <v>1</v>
      </c>
      <c r="K212">
        <v>3.7</v>
      </c>
      <c r="L212" s="5">
        <v>946833.54</v>
      </c>
      <c r="M212">
        <v>184540.31</v>
      </c>
      <c r="N212">
        <f t="shared" si="11"/>
        <v>0</v>
      </c>
      <c r="O212">
        <f t="shared" si="12"/>
        <v>1</v>
      </c>
      <c r="P212">
        <f t="shared" si="13"/>
        <v>0</v>
      </c>
      <c r="T212" s="18">
        <v>946833.54</v>
      </c>
      <c r="U212" s="18">
        <v>107970.19</v>
      </c>
      <c r="V212" s="19">
        <v>12870</v>
      </c>
      <c r="W212" s="19">
        <v>2.9000000000000001E-2</v>
      </c>
      <c r="X212" s="19">
        <v>0</v>
      </c>
      <c r="Y212" s="19">
        <v>1</v>
      </c>
      <c r="Z212" s="19">
        <v>0</v>
      </c>
    </row>
    <row r="213" spans="1:26">
      <c r="A213" s="2">
        <v>45748</v>
      </c>
      <c r="B213" t="s">
        <v>15</v>
      </c>
      <c r="C213" t="s">
        <v>18</v>
      </c>
      <c r="D213" s="5">
        <v>49405.75</v>
      </c>
      <c r="E213">
        <v>9752</v>
      </c>
      <c r="F213">
        <v>9.2999999999999999E-2</v>
      </c>
      <c r="G213">
        <v>21</v>
      </c>
      <c r="H213">
        <v>87</v>
      </c>
      <c r="I213">
        <v>12.28</v>
      </c>
      <c r="J213">
        <v>0</v>
      </c>
      <c r="K213">
        <v>4.0999999999999996</v>
      </c>
      <c r="L213" s="5">
        <v>761963.23</v>
      </c>
      <c r="M213">
        <v>150113.60999999999</v>
      </c>
      <c r="N213">
        <f t="shared" si="11"/>
        <v>0</v>
      </c>
      <c r="O213">
        <f t="shared" si="12"/>
        <v>1</v>
      </c>
      <c r="P213">
        <f t="shared" si="13"/>
        <v>0</v>
      </c>
      <c r="T213" s="18">
        <v>761963.23</v>
      </c>
      <c r="U213" s="18">
        <v>49405.75</v>
      </c>
      <c r="V213" s="19">
        <v>9752</v>
      </c>
      <c r="W213" s="19">
        <v>9.2999999999999999E-2</v>
      </c>
      <c r="X213" s="19">
        <v>0</v>
      </c>
      <c r="Y213" s="19">
        <v>1</v>
      </c>
      <c r="Z213" s="19">
        <v>0</v>
      </c>
    </row>
    <row r="214" spans="1:26">
      <c r="A214" s="2">
        <v>45658</v>
      </c>
      <c r="B214" t="s">
        <v>27</v>
      </c>
      <c r="C214" t="s">
        <v>16</v>
      </c>
      <c r="D214" s="5">
        <v>50887.46</v>
      </c>
      <c r="E214">
        <v>9505</v>
      </c>
      <c r="F214">
        <v>9.0999999999999998E-2</v>
      </c>
      <c r="G214">
        <v>25</v>
      </c>
      <c r="H214">
        <v>89.7</v>
      </c>
      <c r="I214">
        <v>2.8</v>
      </c>
      <c r="J214">
        <v>0</v>
      </c>
      <c r="K214">
        <v>4.3</v>
      </c>
      <c r="L214" s="5">
        <v>812152.6</v>
      </c>
      <c r="M214">
        <v>138419.43</v>
      </c>
      <c r="N214">
        <f t="shared" si="11"/>
        <v>0</v>
      </c>
      <c r="O214">
        <f t="shared" si="12"/>
        <v>0</v>
      </c>
      <c r="P214">
        <f t="shared" si="13"/>
        <v>0</v>
      </c>
      <c r="T214" s="18">
        <v>812152.6</v>
      </c>
      <c r="U214" s="18">
        <v>50887.46</v>
      </c>
      <c r="V214" s="19">
        <v>9505</v>
      </c>
      <c r="W214" s="19">
        <v>9.0999999999999998E-2</v>
      </c>
      <c r="X214" s="19">
        <v>0</v>
      </c>
      <c r="Y214" s="19">
        <v>0</v>
      </c>
      <c r="Z214" s="19">
        <v>0</v>
      </c>
    </row>
    <row r="215" spans="1:26">
      <c r="A215" s="2">
        <v>45689</v>
      </c>
      <c r="B215" t="s">
        <v>27</v>
      </c>
      <c r="C215" t="s">
        <v>16</v>
      </c>
      <c r="D215" s="5">
        <v>41819.449999999997</v>
      </c>
      <c r="E215">
        <v>9412</v>
      </c>
      <c r="F215">
        <v>0.15</v>
      </c>
      <c r="G215">
        <v>22</v>
      </c>
      <c r="H215">
        <v>91</v>
      </c>
      <c r="I215">
        <v>3.67</v>
      </c>
      <c r="J215">
        <v>0</v>
      </c>
      <c r="K215">
        <v>4.2</v>
      </c>
      <c r="L215" s="5">
        <v>804975.5</v>
      </c>
      <c r="M215">
        <v>140054.5</v>
      </c>
      <c r="N215">
        <f t="shared" si="11"/>
        <v>0</v>
      </c>
      <c r="O215">
        <f t="shared" si="12"/>
        <v>0</v>
      </c>
      <c r="P215">
        <f t="shared" si="13"/>
        <v>0</v>
      </c>
      <c r="T215" s="18">
        <v>804975.5</v>
      </c>
      <c r="U215" s="18">
        <v>41819.449999999997</v>
      </c>
      <c r="V215" s="19">
        <v>9412</v>
      </c>
      <c r="W215" s="19">
        <v>0.15</v>
      </c>
      <c r="X215" s="19">
        <v>0</v>
      </c>
      <c r="Y215" s="19">
        <v>0</v>
      </c>
      <c r="Z215" s="19">
        <v>0</v>
      </c>
    </row>
    <row r="216" spans="1:26">
      <c r="A216" s="2">
        <v>45717</v>
      </c>
      <c r="B216" t="s">
        <v>27</v>
      </c>
      <c r="C216" t="s">
        <v>16</v>
      </c>
      <c r="D216" s="5">
        <v>35296.54</v>
      </c>
      <c r="E216">
        <v>9644</v>
      </c>
      <c r="F216">
        <v>0</v>
      </c>
      <c r="G216">
        <v>22</v>
      </c>
      <c r="H216">
        <v>88</v>
      </c>
      <c r="I216">
        <v>2.81</v>
      </c>
      <c r="J216">
        <v>0</v>
      </c>
      <c r="K216">
        <v>4.7</v>
      </c>
      <c r="L216" s="5">
        <v>752321.72</v>
      </c>
      <c r="M216">
        <v>137788.51</v>
      </c>
      <c r="N216">
        <f t="shared" si="11"/>
        <v>0</v>
      </c>
      <c r="O216">
        <f t="shared" si="12"/>
        <v>0</v>
      </c>
      <c r="P216">
        <f t="shared" si="13"/>
        <v>0</v>
      </c>
      <c r="T216" s="18">
        <v>752321.72</v>
      </c>
      <c r="U216" s="18">
        <v>35296.54</v>
      </c>
      <c r="V216" s="19">
        <v>9644</v>
      </c>
      <c r="W216" s="19">
        <v>0</v>
      </c>
      <c r="X216" s="19">
        <v>0</v>
      </c>
      <c r="Y216" s="19">
        <v>0</v>
      </c>
      <c r="Z216" s="19">
        <v>0</v>
      </c>
    </row>
    <row r="217" spans="1:26">
      <c r="A217" s="2">
        <v>45748</v>
      </c>
      <c r="B217" t="s">
        <v>27</v>
      </c>
      <c r="C217" t="s">
        <v>16</v>
      </c>
      <c r="D217" s="5">
        <v>47391.09</v>
      </c>
      <c r="E217">
        <v>11224</v>
      </c>
      <c r="F217">
        <v>0.14699999999999999</v>
      </c>
      <c r="G217">
        <v>25</v>
      </c>
      <c r="H217">
        <v>88.4</v>
      </c>
      <c r="I217">
        <v>2.44</v>
      </c>
      <c r="J217">
        <v>0</v>
      </c>
      <c r="K217">
        <v>4.9000000000000004</v>
      </c>
      <c r="L217" s="5">
        <v>836908.24</v>
      </c>
      <c r="M217">
        <v>141090.26</v>
      </c>
      <c r="N217">
        <f t="shared" si="11"/>
        <v>0</v>
      </c>
      <c r="O217">
        <f t="shared" si="12"/>
        <v>0</v>
      </c>
      <c r="P217">
        <f t="shared" si="13"/>
        <v>0</v>
      </c>
      <c r="T217" s="18">
        <v>836908.24</v>
      </c>
      <c r="U217" s="18">
        <v>47391.09</v>
      </c>
      <c r="V217" s="19">
        <v>11224</v>
      </c>
      <c r="W217" s="19">
        <v>0.14699999999999999</v>
      </c>
      <c r="X217" s="19">
        <v>0</v>
      </c>
      <c r="Y217" s="19">
        <v>0</v>
      </c>
      <c r="Z217" s="19">
        <v>0</v>
      </c>
    </row>
    <row r="218" spans="1:26">
      <c r="A218" s="2">
        <v>45658</v>
      </c>
      <c r="B218" t="s">
        <v>20</v>
      </c>
      <c r="C218" t="s">
        <v>21</v>
      </c>
      <c r="D218" s="5">
        <v>69180.539999999994</v>
      </c>
      <c r="E218">
        <v>5394</v>
      </c>
      <c r="F218">
        <v>0.126</v>
      </c>
      <c r="G218">
        <v>12</v>
      </c>
      <c r="H218">
        <v>82.9</v>
      </c>
      <c r="I218">
        <v>3.27</v>
      </c>
      <c r="J218">
        <v>0</v>
      </c>
      <c r="K218">
        <v>3.3</v>
      </c>
      <c r="L218" s="5">
        <v>674289.1</v>
      </c>
      <c r="M218">
        <v>117773.79</v>
      </c>
      <c r="N218">
        <f t="shared" si="11"/>
        <v>0</v>
      </c>
      <c r="O218">
        <f t="shared" si="12"/>
        <v>0</v>
      </c>
      <c r="P218">
        <f t="shared" si="13"/>
        <v>1</v>
      </c>
      <c r="T218" s="18">
        <v>674289.1</v>
      </c>
      <c r="U218" s="18">
        <v>69180.539999999994</v>
      </c>
      <c r="V218" s="19">
        <v>5394</v>
      </c>
      <c r="W218" s="19">
        <v>0.126</v>
      </c>
      <c r="X218" s="19">
        <v>0</v>
      </c>
      <c r="Y218" s="19">
        <v>0</v>
      </c>
      <c r="Z218" s="19">
        <v>1</v>
      </c>
    </row>
    <row r="219" spans="1:26">
      <c r="A219" s="2">
        <v>45689</v>
      </c>
      <c r="B219" t="s">
        <v>20</v>
      </c>
      <c r="C219" t="s">
        <v>21</v>
      </c>
      <c r="D219" s="5">
        <v>33987.33</v>
      </c>
      <c r="E219">
        <v>5014</v>
      </c>
      <c r="F219">
        <v>0.246</v>
      </c>
      <c r="G219">
        <v>17</v>
      </c>
      <c r="H219">
        <v>94.3</v>
      </c>
      <c r="I219">
        <v>10.34</v>
      </c>
      <c r="J219">
        <v>0</v>
      </c>
      <c r="K219">
        <v>3.9</v>
      </c>
      <c r="L219" s="5">
        <v>622892.42000000004</v>
      </c>
      <c r="M219">
        <v>101032.52</v>
      </c>
      <c r="N219">
        <f t="shared" si="11"/>
        <v>0</v>
      </c>
      <c r="O219">
        <f t="shared" si="12"/>
        <v>0</v>
      </c>
      <c r="P219">
        <f t="shared" si="13"/>
        <v>1</v>
      </c>
      <c r="T219" s="18">
        <v>622892.42000000004</v>
      </c>
      <c r="U219" s="18">
        <v>33987.33</v>
      </c>
      <c r="V219" s="19">
        <v>5014</v>
      </c>
      <c r="W219" s="19">
        <v>0.246</v>
      </c>
      <c r="X219" s="19">
        <v>0</v>
      </c>
      <c r="Y219" s="19">
        <v>0</v>
      </c>
      <c r="Z219" s="19">
        <v>1</v>
      </c>
    </row>
    <row r="220" spans="1:26">
      <c r="A220" s="2">
        <v>45717</v>
      </c>
      <c r="B220" t="s">
        <v>20</v>
      </c>
      <c r="C220" t="s">
        <v>21</v>
      </c>
      <c r="D220" s="5">
        <v>58785.33</v>
      </c>
      <c r="E220">
        <v>4467</v>
      </c>
      <c r="F220">
        <v>0.22900000000000001</v>
      </c>
      <c r="G220">
        <v>14</v>
      </c>
      <c r="H220">
        <v>90.7</v>
      </c>
      <c r="I220">
        <v>1.92</v>
      </c>
      <c r="J220">
        <v>0</v>
      </c>
      <c r="K220">
        <v>3.7</v>
      </c>
      <c r="L220" s="5">
        <v>673348.56</v>
      </c>
      <c r="M220">
        <v>69464.59</v>
      </c>
      <c r="N220">
        <f t="shared" si="11"/>
        <v>0</v>
      </c>
      <c r="O220">
        <f t="shared" si="12"/>
        <v>0</v>
      </c>
      <c r="P220">
        <f t="shared" si="13"/>
        <v>1</v>
      </c>
      <c r="T220" s="18">
        <v>673348.56</v>
      </c>
      <c r="U220" s="18">
        <v>58785.33</v>
      </c>
      <c r="V220" s="19">
        <v>4467</v>
      </c>
      <c r="W220" s="19">
        <v>0.22900000000000001</v>
      </c>
      <c r="X220" s="19">
        <v>0</v>
      </c>
      <c r="Y220" s="19">
        <v>0</v>
      </c>
      <c r="Z220" s="19">
        <v>1</v>
      </c>
    </row>
    <row r="221" spans="1:26">
      <c r="A221" s="2">
        <v>45748</v>
      </c>
      <c r="B221" t="s">
        <v>20</v>
      </c>
      <c r="C221" t="s">
        <v>21</v>
      </c>
      <c r="D221" s="5">
        <v>16451.849999999999</v>
      </c>
      <c r="E221">
        <v>4678</v>
      </c>
      <c r="F221">
        <v>0.13300000000000001</v>
      </c>
      <c r="G221">
        <v>11</v>
      </c>
      <c r="H221">
        <v>95.9</v>
      </c>
      <c r="I221">
        <v>3.1</v>
      </c>
      <c r="J221">
        <v>0</v>
      </c>
      <c r="K221">
        <v>3.9</v>
      </c>
      <c r="L221" s="5">
        <v>606278.30000000005</v>
      </c>
      <c r="M221">
        <v>102213.26</v>
      </c>
      <c r="N221">
        <f t="shared" si="11"/>
        <v>0</v>
      </c>
      <c r="O221">
        <f t="shared" si="12"/>
        <v>0</v>
      </c>
      <c r="P221">
        <f t="shared" si="13"/>
        <v>1</v>
      </c>
      <c r="T221" s="18">
        <v>606278.30000000005</v>
      </c>
      <c r="U221" s="18">
        <v>16451.849999999999</v>
      </c>
      <c r="V221" s="19">
        <v>4678</v>
      </c>
      <c r="W221" s="19">
        <v>0.13300000000000001</v>
      </c>
      <c r="X221" s="19">
        <v>0</v>
      </c>
      <c r="Y221" s="19">
        <v>0</v>
      </c>
      <c r="Z221" s="19">
        <v>1</v>
      </c>
    </row>
    <row r="222" spans="1:26">
      <c r="A222" s="2">
        <v>45658</v>
      </c>
      <c r="B222" t="s">
        <v>15</v>
      </c>
      <c r="C222" t="s">
        <v>18</v>
      </c>
      <c r="D222" s="5">
        <v>53367.73</v>
      </c>
      <c r="E222">
        <v>7291</v>
      </c>
      <c r="F222">
        <v>0.14599999999999999</v>
      </c>
      <c r="G222">
        <v>18</v>
      </c>
      <c r="H222">
        <v>90.6</v>
      </c>
      <c r="I222">
        <v>6.34</v>
      </c>
      <c r="J222">
        <v>1</v>
      </c>
      <c r="K222">
        <v>3.8</v>
      </c>
      <c r="L222" s="5">
        <v>712219.81</v>
      </c>
      <c r="M222">
        <v>85906.54</v>
      </c>
      <c r="N222">
        <f t="shared" si="11"/>
        <v>0</v>
      </c>
      <c r="O222">
        <f t="shared" si="12"/>
        <v>1</v>
      </c>
      <c r="P222">
        <f t="shared" si="13"/>
        <v>0</v>
      </c>
      <c r="T222" s="18">
        <v>712219.81</v>
      </c>
      <c r="U222" s="18">
        <v>53367.73</v>
      </c>
      <c r="V222" s="19">
        <v>7291</v>
      </c>
      <c r="W222" s="19">
        <v>0.14599999999999999</v>
      </c>
      <c r="X222" s="19">
        <v>0</v>
      </c>
      <c r="Y222" s="19">
        <v>1</v>
      </c>
      <c r="Z222" s="19">
        <v>0</v>
      </c>
    </row>
    <row r="223" spans="1:26">
      <c r="A223" s="2">
        <v>45689</v>
      </c>
      <c r="B223" t="s">
        <v>15</v>
      </c>
      <c r="C223" t="s">
        <v>18</v>
      </c>
      <c r="D223" s="5">
        <v>27194.639999999999</v>
      </c>
      <c r="E223">
        <v>7404</v>
      </c>
      <c r="F223">
        <v>8.7999999999999995E-2</v>
      </c>
      <c r="G223">
        <v>18</v>
      </c>
      <c r="H223">
        <v>90.2</v>
      </c>
      <c r="I223">
        <v>1.2</v>
      </c>
      <c r="J223">
        <v>0</v>
      </c>
      <c r="K223">
        <v>3.4</v>
      </c>
      <c r="L223" s="5">
        <v>672670.54</v>
      </c>
      <c r="M223">
        <v>132684.18</v>
      </c>
      <c r="N223">
        <f t="shared" si="11"/>
        <v>0</v>
      </c>
      <c r="O223">
        <f t="shared" si="12"/>
        <v>1</v>
      </c>
      <c r="P223">
        <f t="shared" si="13"/>
        <v>0</v>
      </c>
      <c r="T223" s="18">
        <v>672670.54</v>
      </c>
      <c r="U223" s="18">
        <v>27194.639999999999</v>
      </c>
      <c r="V223" s="19">
        <v>7404</v>
      </c>
      <c r="W223" s="19">
        <v>8.7999999999999995E-2</v>
      </c>
      <c r="X223" s="19">
        <v>0</v>
      </c>
      <c r="Y223" s="19">
        <v>1</v>
      </c>
      <c r="Z223" s="19">
        <v>0</v>
      </c>
    </row>
    <row r="224" spans="1:26">
      <c r="A224" s="2">
        <v>45717</v>
      </c>
      <c r="B224" t="s">
        <v>15</v>
      </c>
      <c r="C224" t="s">
        <v>18</v>
      </c>
      <c r="D224" s="5">
        <v>66962.740000000005</v>
      </c>
      <c r="E224">
        <v>7880</v>
      </c>
      <c r="F224">
        <v>0.11600000000000001</v>
      </c>
      <c r="G224">
        <v>19</v>
      </c>
      <c r="H224">
        <v>90.4</v>
      </c>
      <c r="I224">
        <v>4.5</v>
      </c>
      <c r="J224">
        <v>0</v>
      </c>
      <c r="K224">
        <v>3.3</v>
      </c>
      <c r="L224" s="5">
        <v>732667.92</v>
      </c>
      <c r="M224">
        <v>128654.46</v>
      </c>
      <c r="N224">
        <f t="shared" si="11"/>
        <v>0</v>
      </c>
      <c r="O224">
        <f t="shared" si="12"/>
        <v>1</v>
      </c>
      <c r="P224">
        <f t="shared" si="13"/>
        <v>0</v>
      </c>
      <c r="T224" s="18">
        <v>732667.92</v>
      </c>
      <c r="U224" s="18">
        <v>66962.740000000005</v>
      </c>
      <c r="V224" s="19">
        <v>7880</v>
      </c>
      <c r="W224" s="19">
        <v>0.11600000000000001</v>
      </c>
      <c r="X224" s="19">
        <v>0</v>
      </c>
      <c r="Y224" s="19">
        <v>1</v>
      </c>
      <c r="Z224" s="19">
        <v>0</v>
      </c>
    </row>
    <row r="225" spans="1:26">
      <c r="A225" s="2">
        <v>45748</v>
      </c>
      <c r="B225" t="s">
        <v>15</v>
      </c>
      <c r="C225" t="s">
        <v>18</v>
      </c>
      <c r="D225" s="5">
        <v>73540.990000000005</v>
      </c>
      <c r="E225">
        <v>8773</v>
      </c>
      <c r="F225">
        <v>3.5000000000000003E-2</v>
      </c>
      <c r="G225">
        <v>21</v>
      </c>
      <c r="H225">
        <v>84.4</v>
      </c>
      <c r="I225">
        <v>6.68</v>
      </c>
      <c r="J225">
        <v>0</v>
      </c>
      <c r="K225">
        <v>3.6</v>
      </c>
      <c r="L225" s="5">
        <v>723531.4</v>
      </c>
      <c r="M225">
        <v>108794.85</v>
      </c>
      <c r="N225">
        <f t="shared" si="11"/>
        <v>0</v>
      </c>
      <c r="O225">
        <f t="shared" si="12"/>
        <v>1</v>
      </c>
      <c r="P225">
        <f t="shared" si="13"/>
        <v>0</v>
      </c>
      <c r="T225" s="18">
        <v>723531.4</v>
      </c>
      <c r="U225" s="18">
        <v>73540.990000000005</v>
      </c>
      <c r="V225" s="19">
        <v>8773</v>
      </c>
      <c r="W225" s="19">
        <v>3.5000000000000003E-2</v>
      </c>
      <c r="X225" s="19">
        <v>0</v>
      </c>
      <c r="Y225" s="19">
        <v>1</v>
      </c>
      <c r="Z225" s="19">
        <v>0</v>
      </c>
    </row>
    <row r="226" spans="1:26">
      <c r="A226" s="2">
        <v>45658</v>
      </c>
      <c r="B226" t="s">
        <v>15</v>
      </c>
      <c r="C226" t="s">
        <v>28</v>
      </c>
      <c r="D226" s="5">
        <v>68212.289999999994</v>
      </c>
      <c r="E226">
        <v>4713</v>
      </c>
      <c r="F226">
        <v>0.19800000000000001</v>
      </c>
      <c r="G226">
        <v>15</v>
      </c>
      <c r="H226">
        <v>82.6</v>
      </c>
      <c r="I226">
        <v>4.07</v>
      </c>
      <c r="J226">
        <v>1</v>
      </c>
      <c r="K226">
        <v>3</v>
      </c>
      <c r="L226" s="5">
        <v>641564.6</v>
      </c>
      <c r="M226">
        <v>90468.96</v>
      </c>
      <c r="N226">
        <f t="shared" si="11"/>
        <v>1</v>
      </c>
      <c r="O226">
        <f t="shared" si="12"/>
        <v>0</v>
      </c>
      <c r="P226">
        <f t="shared" si="13"/>
        <v>0</v>
      </c>
      <c r="T226" s="18">
        <v>641564.6</v>
      </c>
      <c r="U226" s="18">
        <v>68212.289999999994</v>
      </c>
      <c r="V226" s="19">
        <v>4713</v>
      </c>
      <c r="W226" s="19">
        <v>0.19800000000000001</v>
      </c>
      <c r="X226" s="19">
        <v>1</v>
      </c>
      <c r="Y226" s="19">
        <v>0</v>
      </c>
      <c r="Z226" s="19">
        <v>0</v>
      </c>
    </row>
    <row r="227" spans="1:26">
      <c r="A227" s="2">
        <v>45689</v>
      </c>
      <c r="B227" t="s">
        <v>15</v>
      </c>
      <c r="C227" t="s">
        <v>28</v>
      </c>
      <c r="D227" s="5">
        <v>57225.98</v>
      </c>
      <c r="E227">
        <v>2842</v>
      </c>
      <c r="F227">
        <v>0.112</v>
      </c>
      <c r="G227">
        <v>10</v>
      </c>
      <c r="H227">
        <v>79.5</v>
      </c>
      <c r="I227">
        <v>5.45</v>
      </c>
      <c r="J227">
        <v>0</v>
      </c>
      <c r="K227">
        <v>3.4</v>
      </c>
      <c r="L227" s="5">
        <v>536545.49</v>
      </c>
      <c r="M227">
        <v>97917.45</v>
      </c>
      <c r="N227">
        <f t="shared" si="11"/>
        <v>1</v>
      </c>
      <c r="O227">
        <f t="shared" si="12"/>
        <v>0</v>
      </c>
      <c r="P227">
        <f t="shared" si="13"/>
        <v>0</v>
      </c>
      <c r="T227" s="18">
        <v>536545.49</v>
      </c>
      <c r="U227" s="18">
        <v>57225.98</v>
      </c>
      <c r="V227" s="19">
        <v>2842</v>
      </c>
      <c r="W227" s="19">
        <v>0.112</v>
      </c>
      <c r="X227" s="19">
        <v>1</v>
      </c>
      <c r="Y227" s="19">
        <v>0</v>
      </c>
      <c r="Z227" s="19">
        <v>0</v>
      </c>
    </row>
    <row r="228" spans="1:26">
      <c r="A228" s="2">
        <v>45717</v>
      </c>
      <c r="B228" t="s">
        <v>15</v>
      </c>
      <c r="C228" t="s">
        <v>28</v>
      </c>
      <c r="D228" s="5">
        <v>42932.02</v>
      </c>
      <c r="E228">
        <v>3872</v>
      </c>
      <c r="F228">
        <v>0.17100000000000001</v>
      </c>
      <c r="G228">
        <v>12</v>
      </c>
      <c r="H228">
        <v>83.2</v>
      </c>
      <c r="I228">
        <v>15.58</v>
      </c>
      <c r="J228">
        <v>0</v>
      </c>
      <c r="K228">
        <v>3.3</v>
      </c>
      <c r="L228" s="5">
        <v>527681.56000000006</v>
      </c>
      <c r="M228">
        <v>63153.05</v>
      </c>
      <c r="N228">
        <f t="shared" si="11"/>
        <v>1</v>
      </c>
      <c r="O228">
        <f t="shared" si="12"/>
        <v>0</v>
      </c>
      <c r="P228">
        <f t="shared" si="13"/>
        <v>0</v>
      </c>
      <c r="T228" s="18">
        <v>527681.56000000006</v>
      </c>
      <c r="U228" s="18">
        <v>42932.02</v>
      </c>
      <c r="V228" s="19">
        <v>3872</v>
      </c>
      <c r="W228" s="19">
        <v>0.17100000000000001</v>
      </c>
      <c r="X228" s="19">
        <v>1</v>
      </c>
      <c r="Y228" s="19">
        <v>0</v>
      </c>
      <c r="Z228" s="19">
        <v>0</v>
      </c>
    </row>
    <row r="229" spans="1:26">
      <c r="A229" s="2">
        <v>45748</v>
      </c>
      <c r="B229" t="s">
        <v>15</v>
      </c>
      <c r="C229" t="s">
        <v>28</v>
      </c>
      <c r="D229" s="5">
        <v>39341.449999999997</v>
      </c>
      <c r="E229">
        <v>1375</v>
      </c>
      <c r="F229">
        <v>9.2999999999999999E-2</v>
      </c>
      <c r="G229">
        <v>5</v>
      </c>
      <c r="H229">
        <v>95</v>
      </c>
      <c r="I229">
        <v>5.32</v>
      </c>
      <c r="J229">
        <v>0</v>
      </c>
      <c r="L229" s="5">
        <v>529598.93999999994</v>
      </c>
      <c r="M229">
        <v>84334.33</v>
      </c>
      <c r="N229">
        <f t="shared" si="11"/>
        <v>1</v>
      </c>
      <c r="O229">
        <f t="shared" si="12"/>
        <v>0</v>
      </c>
      <c r="P229">
        <f t="shared" si="13"/>
        <v>0</v>
      </c>
      <c r="T229" s="18">
        <v>529598.93999999994</v>
      </c>
      <c r="U229" s="18">
        <v>39341.449999999997</v>
      </c>
      <c r="V229" s="19">
        <v>1375</v>
      </c>
      <c r="W229" s="19">
        <v>9.2999999999999999E-2</v>
      </c>
      <c r="X229" s="19">
        <v>1</v>
      </c>
      <c r="Y229" s="19">
        <v>0</v>
      </c>
      <c r="Z229" s="19">
        <v>0</v>
      </c>
    </row>
    <row r="230" spans="1:26">
      <c r="A230" s="2">
        <v>45658</v>
      </c>
      <c r="B230" t="s">
        <v>15</v>
      </c>
      <c r="C230" t="s">
        <v>18</v>
      </c>
      <c r="D230" s="5">
        <v>37324.230000000003</v>
      </c>
      <c r="E230">
        <v>5957</v>
      </c>
      <c r="F230">
        <v>7.0999999999999994E-2</v>
      </c>
      <c r="G230">
        <v>12</v>
      </c>
      <c r="H230">
        <v>85.9</v>
      </c>
      <c r="I230">
        <v>0.37</v>
      </c>
      <c r="J230">
        <v>0</v>
      </c>
      <c r="K230">
        <v>3.8</v>
      </c>
      <c r="L230" s="5">
        <v>570963.31000000006</v>
      </c>
      <c r="M230">
        <v>87342.25</v>
      </c>
      <c r="N230">
        <f t="shared" si="11"/>
        <v>0</v>
      </c>
      <c r="O230">
        <f t="shared" si="12"/>
        <v>1</v>
      </c>
      <c r="P230">
        <f t="shared" si="13"/>
        <v>0</v>
      </c>
      <c r="T230" s="18">
        <v>570963.31000000006</v>
      </c>
      <c r="U230" s="18">
        <v>37324.230000000003</v>
      </c>
      <c r="V230" s="19">
        <v>5957</v>
      </c>
      <c r="W230" s="19">
        <v>7.0999999999999994E-2</v>
      </c>
      <c r="X230" s="19">
        <v>0</v>
      </c>
      <c r="Y230" s="19">
        <v>1</v>
      </c>
      <c r="Z230" s="19">
        <v>0</v>
      </c>
    </row>
    <row r="231" spans="1:26">
      <c r="A231" s="2">
        <v>45689</v>
      </c>
      <c r="B231" t="s">
        <v>15</v>
      </c>
      <c r="C231" t="s">
        <v>18</v>
      </c>
      <c r="D231" s="5">
        <v>113736</v>
      </c>
      <c r="E231">
        <v>8961</v>
      </c>
      <c r="F231">
        <v>0.20200000000000001</v>
      </c>
      <c r="G231">
        <v>24</v>
      </c>
      <c r="H231">
        <v>86.2</v>
      </c>
      <c r="I231">
        <v>21.63</v>
      </c>
      <c r="J231">
        <v>0</v>
      </c>
      <c r="K231">
        <v>4</v>
      </c>
      <c r="L231" s="5">
        <v>870937.4</v>
      </c>
      <c r="M231">
        <v>175282.74</v>
      </c>
      <c r="N231">
        <f t="shared" si="11"/>
        <v>0</v>
      </c>
      <c r="O231">
        <f t="shared" si="12"/>
        <v>1</v>
      </c>
      <c r="P231">
        <f t="shared" si="13"/>
        <v>0</v>
      </c>
      <c r="T231" s="18">
        <v>870937.4</v>
      </c>
      <c r="U231" s="18">
        <v>113736</v>
      </c>
      <c r="V231" s="19">
        <v>8961</v>
      </c>
      <c r="W231" s="19">
        <v>0.20200000000000001</v>
      </c>
      <c r="X231" s="19">
        <v>0</v>
      </c>
      <c r="Y231" s="19">
        <v>1</v>
      </c>
      <c r="Z231" s="19">
        <v>0</v>
      </c>
    </row>
    <row r="232" spans="1:26">
      <c r="A232" s="2">
        <v>45717</v>
      </c>
      <c r="B232" t="s">
        <v>15</v>
      </c>
      <c r="C232" t="s">
        <v>18</v>
      </c>
      <c r="D232" s="5">
        <v>33173.949999999997</v>
      </c>
      <c r="E232">
        <v>6545</v>
      </c>
      <c r="F232">
        <v>0.16900000000000001</v>
      </c>
      <c r="G232">
        <v>15</v>
      </c>
      <c r="H232">
        <v>84.4</v>
      </c>
      <c r="I232">
        <v>2.48</v>
      </c>
      <c r="J232">
        <v>0</v>
      </c>
      <c r="K232">
        <v>3.9</v>
      </c>
      <c r="L232" s="5">
        <v>596969.27</v>
      </c>
      <c r="M232">
        <v>105669.51</v>
      </c>
      <c r="N232">
        <f t="shared" si="11"/>
        <v>0</v>
      </c>
      <c r="O232">
        <f t="shared" si="12"/>
        <v>1</v>
      </c>
      <c r="P232">
        <f t="shared" si="13"/>
        <v>0</v>
      </c>
      <c r="T232" s="18">
        <v>596969.27</v>
      </c>
      <c r="U232" s="18">
        <v>33173.949999999997</v>
      </c>
      <c r="V232" s="19">
        <v>6545</v>
      </c>
      <c r="W232" s="19">
        <v>0.16900000000000001</v>
      </c>
      <c r="X232" s="19">
        <v>0</v>
      </c>
      <c r="Y232" s="19">
        <v>1</v>
      </c>
      <c r="Z232" s="19">
        <v>0</v>
      </c>
    </row>
    <row r="233" spans="1:26">
      <c r="A233" s="2">
        <v>45748</v>
      </c>
      <c r="B233" t="s">
        <v>15</v>
      </c>
      <c r="C233" t="s">
        <v>18</v>
      </c>
      <c r="D233" s="5">
        <v>25818.080000000002</v>
      </c>
      <c r="E233">
        <v>5457</v>
      </c>
      <c r="F233">
        <v>0</v>
      </c>
      <c r="G233">
        <v>11</v>
      </c>
      <c r="H233">
        <v>95.4</v>
      </c>
      <c r="J233">
        <v>0</v>
      </c>
      <c r="K233">
        <v>3.7</v>
      </c>
      <c r="L233" s="5">
        <v>647512.85</v>
      </c>
      <c r="M233">
        <v>153835.57</v>
      </c>
      <c r="N233">
        <f t="shared" si="11"/>
        <v>0</v>
      </c>
      <c r="O233">
        <f t="shared" si="12"/>
        <v>1</v>
      </c>
      <c r="P233">
        <f t="shared" si="13"/>
        <v>0</v>
      </c>
      <c r="T233" s="18">
        <v>647512.85</v>
      </c>
      <c r="U233" s="18">
        <v>25818.080000000002</v>
      </c>
      <c r="V233" s="19">
        <v>5457</v>
      </c>
      <c r="W233" s="19">
        <v>0</v>
      </c>
      <c r="X233" s="19">
        <v>0</v>
      </c>
      <c r="Y233" s="19">
        <v>1</v>
      </c>
      <c r="Z233" s="19">
        <v>0</v>
      </c>
    </row>
    <row r="234" spans="1:26">
      <c r="A234" s="2">
        <v>45658</v>
      </c>
      <c r="B234" t="s">
        <v>27</v>
      </c>
      <c r="C234" t="s">
        <v>16</v>
      </c>
      <c r="D234" s="5">
        <v>47241.919999999998</v>
      </c>
      <c r="E234">
        <v>4264</v>
      </c>
      <c r="F234">
        <v>6.9000000000000006E-2</v>
      </c>
      <c r="G234">
        <v>13</v>
      </c>
      <c r="H234">
        <v>95.3</v>
      </c>
      <c r="I234">
        <v>0.85</v>
      </c>
      <c r="J234">
        <v>0</v>
      </c>
      <c r="K234">
        <v>4.3</v>
      </c>
      <c r="L234" s="5">
        <v>658072.14</v>
      </c>
      <c r="M234">
        <v>110595.89</v>
      </c>
      <c r="N234">
        <f t="shared" si="11"/>
        <v>0</v>
      </c>
      <c r="O234">
        <f t="shared" si="12"/>
        <v>0</v>
      </c>
      <c r="P234">
        <f t="shared" si="13"/>
        <v>0</v>
      </c>
      <c r="T234" s="18">
        <v>658072.14</v>
      </c>
      <c r="U234" s="18">
        <v>47241.919999999998</v>
      </c>
      <c r="V234" s="19">
        <v>4264</v>
      </c>
      <c r="W234" s="19">
        <v>6.9000000000000006E-2</v>
      </c>
      <c r="X234" s="19">
        <v>0</v>
      </c>
      <c r="Y234" s="19">
        <v>0</v>
      </c>
      <c r="Z234" s="19">
        <v>0</v>
      </c>
    </row>
    <row r="235" spans="1:26">
      <c r="A235" s="2">
        <v>45689</v>
      </c>
      <c r="B235" t="s">
        <v>27</v>
      </c>
      <c r="C235" t="s">
        <v>16</v>
      </c>
      <c r="D235" s="5">
        <v>61650.79</v>
      </c>
      <c r="E235">
        <v>5321</v>
      </c>
      <c r="F235">
        <v>0.126</v>
      </c>
      <c r="G235">
        <v>17</v>
      </c>
      <c r="H235">
        <v>89.2</v>
      </c>
      <c r="I235">
        <v>2.13</v>
      </c>
      <c r="J235">
        <v>0</v>
      </c>
      <c r="K235">
        <v>4</v>
      </c>
      <c r="L235" s="5">
        <v>723305.11</v>
      </c>
      <c r="M235">
        <v>128468.7</v>
      </c>
      <c r="N235">
        <f t="shared" si="11"/>
        <v>0</v>
      </c>
      <c r="O235">
        <f t="shared" si="12"/>
        <v>0</v>
      </c>
      <c r="P235">
        <f t="shared" si="13"/>
        <v>0</v>
      </c>
      <c r="T235" s="18">
        <v>723305.11</v>
      </c>
      <c r="U235" s="18">
        <v>61650.79</v>
      </c>
      <c r="V235" s="19">
        <v>5321</v>
      </c>
      <c r="W235" s="19">
        <v>0.126</v>
      </c>
      <c r="X235" s="19">
        <v>0</v>
      </c>
      <c r="Y235" s="19">
        <v>0</v>
      </c>
      <c r="Z235" s="19">
        <v>0</v>
      </c>
    </row>
    <row r="236" spans="1:26">
      <c r="A236" s="2">
        <v>45717</v>
      </c>
      <c r="B236" t="s">
        <v>27</v>
      </c>
      <c r="C236" t="s">
        <v>16</v>
      </c>
      <c r="D236" s="5">
        <v>62582.71</v>
      </c>
      <c r="E236">
        <v>5479</v>
      </c>
      <c r="F236">
        <v>4.8000000000000001E-2</v>
      </c>
      <c r="G236">
        <v>16</v>
      </c>
      <c r="H236">
        <v>81.2</v>
      </c>
      <c r="I236">
        <v>1.46</v>
      </c>
      <c r="J236">
        <v>0</v>
      </c>
      <c r="K236">
        <v>4.5</v>
      </c>
      <c r="L236" s="5">
        <v>640666.53</v>
      </c>
      <c r="M236">
        <v>134919.16</v>
      </c>
      <c r="N236">
        <f t="shared" si="11"/>
        <v>0</v>
      </c>
      <c r="O236">
        <f t="shared" si="12"/>
        <v>0</v>
      </c>
      <c r="P236">
        <f t="shared" si="13"/>
        <v>0</v>
      </c>
      <c r="T236" s="18">
        <v>640666.53</v>
      </c>
      <c r="U236" s="18">
        <v>62582.71</v>
      </c>
      <c r="V236" s="19">
        <v>5479</v>
      </c>
      <c r="W236" s="19">
        <v>4.8000000000000001E-2</v>
      </c>
      <c r="X236" s="19">
        <v>0</v>
      </c>
      <c r="Y236" s="19">
        <v>0</v>
      </c>
      <c r="Z236" s="19">
        <v>0</v>
      </c>
    </row>
    <row r="237" spans="1:26">
      <c r="A237" s="2">
        <v>45748</v>
      </c>
      <c r="B237" t="s">
        <v>27</v>
      </c>
      <c r="C237" t="s">
        <v>16</v>
      </c>
      <c r="D237" s="5">
        <v>47944.14</v>
      </c>
      <c r="E237">
        <v>6169</v>
      </c>
      <c r="F237">
        <v>0.11899999999999999</v>
      </c>
      <c r="G237">
        <v>17</v>
      </c>
      <c r="H237">
        <v>92.2</v>
      </c>
      <c r="I237">
        <v>3.02</v>
      </c>
      <c r="J237">
        <v>0</v>
      </c>
      <c r="K237">
        <v>4.0999999999999996</v>
      </c>
      <c r="L237" s="5">
        <v>670629.48</v>
      </c>
      <c r="M237">
        <v>100140.8</v>
      </c>
      <c r="N237">
        <f t="shared" si="11"/>
        <v>0</v>
      </c>
      <c r="O237">
        <f t="shared" si="12"/>
        <v>0</v>
      </c>
      <c r="P237">
        <f t="shared" si="13"/>
        <v>0</v>
      </c>
      <c r="T237" s="18">
        <v>670629.48</v>
      </c>
      <c r="U237" s="18">
        <v>47944.14</v>
      </c>
      <c r="V237" s="19">
        <v>6169</v>
      </c>
      <c r="W237" s="19">
        <v>0.11899999999999999</v>
      </c>
      <c r="X237" s="19">
        <v>0</v>
      </c>
      <c r="Y237" s="19">
        <v>0</v>
      </c>
      <c r="Z237" s="19">
        <v>0</v>
      </c>
    </row>
    <row r="238" spans="1:26">
      <c r="A238" s="2">
        <v>45658</v>
      </c>
      <c r="B238" t="s">
        <v>27</v>
      </c>
      <c r="C238" t="s">
        <v>28</v>
      </c>
      <c r="D238" s="5">
        <v>46495.4</v>
      </c>
      <c r="E238">
        <v>9908</v>
      </c>
      <c r="F238">
        <v>0.121</v>
      </c>
      <c r="G238">
        <v>22</v>
      </c>
      <c r="H238">
        <v>89.4</v>
      </c>
      <c r="I238">
        <v>3.22</v>
      </c>
      <c r="J238">
        <v>0</v>
      </c>
      <c r="K238">
        <v>3.7</v>
      </c>
      <c r="L238" s="5">
        <v>721079.35</v>
      </c>
      <c r="M238">
        <v>115295.05</v>
      </c>
      <c r="N238">
        <f t="shared" si="11"/>
        <v>1</v>
      </c>
      <c r="O238">
        <f t="shared" si="12"/>
        <v>0</v>
      </c>
      <c r="P238">
        <f t="shared" si="13"/>
        <v>0</v>
      </c>
      <c r="T238" s="18">
        <v>721079.35</v>
      </c>
      <c r="U238" s="18">
        <v>46495.4</v>
      </c>
      <c r="V238" s="19">
        <v>9908</v>
      </c>
      <c r="W238" s="19">
        <v>0.121</v>
      </c>
      <c r="X238" s="19">
        <v>1</v>
      </c>
      <c r="Y238" s="19">
        <v>0</v>
      </c>
      <c r="Z238" s="19">
        <v>0</v>
      </c>
    </row>
    <row r="239" spans="1:26">
      <c r="A239" s="2">
        <v>45689</v>
      </c>
      <c r="B239" t="s">
        <v>27</v>
      </c>
      <c r="C239" t="s">
        <v>28</v>
      </c>
      <c r="D239" s="5">
        <v>72961.95</v>
      </c>
      <c r="E239">
        <v>9996</v>
      </c>
      <c r="F239">
        <v>0.106</v>
      </c>
      <c r="G239">
        <v>22</v>
      </c>
      <c r="H239">
        <v>89.1</v>
      </c>
      <c r="I239">
        <v>15.66</v>
      </c>
      <c r="J239">
        <v>0</v>
      </c>
      <c r="K239">
        <v>3.4</v>
      </c>
      <c r="L239" s="5">
        <v>810355.02</v>
      </c>
      <c r="M239">
        <v>131510</v>
      </c>
      <c r="N239">
        <f t="shared" si="11"/>
        <v>1</v>
      </c>
      <c r="O239">
        <f t="shared" si="12"/>
        <v>0</v>
      </c>
      <c r="P239">
        <f t="shared" si="13"/>
        <v>0</v>
      </c>
      <c r="T239" s="18">
        <v>810355.02</v>
      </c>
      <c r="U239" s="18">
        <v>72961.95</v>
      </c>
      <c r="V239" s="19">
        <v>9996</v>
      </c>
      <c r="W239" s="19">
        <v>0.106</v>
      </c>
      <c r="X239" s="19">
        <v>1</v>
      </c>
      <c r="Y239" s="19">
        <v>0</v>
      </c>
      <c r="Z239" s="19">
        <v>0</v>
      </c>
    </row>
    <row r="240" spans="1:26">
      <c r="A240" s="2">
        <v>45717</v>
      </c>
      <c r="B240" t="s">
        <v>27</v>
      </c>
      <c r="C240" t="s">
        <v>28</v>
      </c>
      <c r="D240" s="5">
        <v>59060.05</v>
      </c>
      <c r="E240">
        <v>9702</v>
      </c>
      <c r="F240">
        <v>0.20100000000000001</v>
      </c>
      <c r="G240">
        <v>23</v>
      </c>
      <c r="H240">
        <v>80.900000000000006</v>
      </c>
      <c r="I240">
        <v>6.96</v>
      </c>
      <c r="J240">
        <v>0</v>
      </c>
      <c r="K240">
        <v>3.2</v>
      </c>
      <c r="L240" s="5">
        <v>761919.25</v>
      </c>
      <c r="M240">
        <v>111893.06</v>
      </c>
      <c r="N240">
        <f t="shared" si="11"/>
        <v>1</v>
      </c>
      <c r="O240">
        <f t="shared" si="12"/>
        <v>0</v>
      </c>
      <c r="P240">
        <f t="shared" si="13"/>
        <v>0</v>
      </c>
      <c r="T240" s="18">
        <v>761919.25</v>
      </c>
      <c r="U240" s="18">
        <v>59060.05</v>
      </c>
      <c r="V240" s="19">
        <v>9702</v>
      </c>
      <c r="W240" s="19">
        <v>0.20100000000000001</v>
      </c>
      <c r="X240" s="19">
        <v>1</v>
      </c>
      <c r="Y240" s="19">
        <v>0</v>
      </c>
      <c r="Z240" s="19">
        <v>0</v>
      </c>
    </row>
    <row r="241" spans="1:26">
      <c r="A241" s="2">
        <v>45748</v>
      </c>
      <c r="B241" t="s">
        <v>27</v>
      </c>
      <c r="C241" t="s">
        <v>28</v>
      </c>
      <c r="D241" s="5">
        <v>26248.1</v>
      </c>
      <c r="E241">
        <v>9314</v>
      </c>
      <c r="F241">
        <v>0.186</v>
      </c>
      <c r="G241">
        <v>21</v>
      </c>
      <c r="H241">
        <v>83.7</v>
      </c>
      <c r="I241">
        <v>4.62</v>
      </c>
      <c r="J241">
        <v>0</v>
      </c>
      <c r="K241">
        <v>3.3</v>
      </c>
      <c r="L241" s="5">
        <v>737070.18</v>
      </c>
      <c r="M241">
        <v>117593.97</v>
      </c>
      <c r="N241">
        <f t="shared" si="11"/>
        <v>1</v>
      </c>
      <c r="O241">
        <f t="shared" si="12"/>
        <v>0</v>
      </c>
      <c r="P241">
        <f t="shared" si="13"/>
        <v>0</v>
      </c>
      <c r="T241" s="18">
        <v>737070.18</v>
      </c>
      <c r="U241" s="18">
        <v>26248.1</v>
      </c>
      <c r="V241" s="19">
        <v>9314</v>
      </c>
      <c r="W241" s="19">
        <v>0.186</v>
      </c>
      <c r="X241" s="19">
        <v>1</v>
      </c>
      <c r="Y241" s="19">
        <v>0</v>
      </c>
      <c r="Z241" s="19">
        <v>0</v>
      </c>
    </row>
    <row r="242" spans="1:26">
      <c r="A242" s="2">
        <v>45658</v>
      </c>
      <c r="B242" t="s">
        <v>24</v>
      </c>
      <c r="C242" t="s">
        <v>21</v>
      </c>
      <c r="D242" s="5">
        <v>69900.12</v>
      </c>
      <c r="E242">
        <v>8055</v>
      </c>
      <c r="F242">
        <v>0.28100000000000003</v>
      </c>
      <c r="G242">
        <v>22</v>
      </c>
      <c r="H242">
        <v>85.6</v>
      </c>
      <c r="I242">
        <v>10.68</v>
      </c>
      <c r="J242">
        <v>1</v>
      </c>
      <c r="K242">
        <v>2.9</v>
      </c>
      <c r="L242" s="5">
        <v>776992.93</v>
      </c>
      <c r="M242">
        <v>101598.32</v>
      </c>
      <c r="N242">
        <f t="shared" si="11"/>
        <v>0</v>
      </c>
      <c r="O242">
        <f t="shared" si="12"/>
        <v>0</v>
      </c>
      <c r="P242">
        <f t="shared" si="13"/>
        <v>1</v>
      </c>
      <c r="T242" s="18">
        <v>776992.93</v>
      </c>
      <c r="U242" s="18">
        <v>69900.12</v>
      </c>
      <c r="V242" s="19">
        <v>8055</v>
      </c>
      <c r="W242" s="19">
        <v>0.28100000000000003</v>
      </c>
      <c r="X242" s="19">
        <v>0</v>
      </c>
      <c r="Y242" s="19">
        <v>0</v>
      </c>
      <c r="Z242" s="19">
        <v>1</v>
      </c>
    </row>
    <row r="243" spans="1:26">
      <c r="A243" s="2">
        <v>45689</v>
      </c>
      <c r="B243" t="s">
        <v>24</v>
      </c>
      <c r="C243" t="s">
        <v>21</v>
      </c>
      <c r="D243" s="5">
        <v>51781.599999999999</v>
      </c>
      <c r="E243">
        <v>5648</v>
      </c>
      <c r="F243">
        <v>5.8999999999999997E-2</v>
      </c>
      <c r="G243">
        <v>13</v>
      </c>
      <c r="H243">
        <v>85.5</v>
      </c>
      <c r="I243">
        <v>4.04</v>
      </c>
      <c r="J243">
        <v>0</v>
      </c>
      <c r="K243">
        <v>3.7</v>
      </c>
      <c r="L243" s="5">
        <v>676337.41</v>
      </c>
      <c r="M243">
        <v>104355.77</v>
      </c>
      <c r="N243">
        <f t="shared" si="11"/>
        <v>0</v>
      </c>
      <c r="O243">
        <f t="shared" si="12"/>
        <v>0</v>
      </c>
      <c r="P243">
        <f t="shared" si="13"/>
        <v>1</v>
      </c>
      <c r="T243" s="18">
        <v>676337.41</v>
      </c>
      <c r="U243" s="18">
        <v>51781.599999999999</v>
      </c>
      <c r="V243" s="19">
        <v>5648</v>
      </c>
      <c r="W243" s="19">
        <v>5.8999999999999997E-2</v>
      </c>
      <c r="X243" s="19">
        <v>0</v>
      </c>
      <c r="Y243" s="19">
        <v>0</v>
      </c>
      <c r="Z243" s="19">
        <v>1</v>
      </c>
    </row>
    <row r="244" spans="1:26">
      <c r="A244" s="2">
        <v>45717</v>
      </c>
      <c r="B244" t="s">
        <v>24</v>
      </c>
      <c r="C244" t="s">
        <v>21</v>
      </c>
      <c r="D244" s="5">
        <v>70799.64</v>
      </c>
      <c r="E244">
        <v>10076</v>
      </c>
      <c r="F244">
        <v>0.152</v>
      </c>
      <c r="G244">
        <v>24</v>
      </c>
      <c r="H244">
        <v>84.8</v>
      </c>
      <c r="I244">
        <v>1.87</v>
      </c>
      <c r="J244">
        <v>0</v>
      </c>
      <c r="K244">
        <v>3.5</v>
      </c>
      <c r="L244" s="5">
        <v>828219.67</v>
      </c>
      <c r="M244">
        <v>179806.87</v>
      </c>
      <c r="N244">
        <f t="shared" si="11"/>
        <v>0</v>
      </c>
      <c r="O244">
        <f t="shared" si="12"/>
        <v>0</v>
      </c>
      <c r="P244">
        <f t="shared" si="13"/>
        <v>1</v>
      </c>
      <c r="T244" s="18">
        <v>828219.67</v>
      </c>
      <c r="U244" s="18">
        <v>70799.64</v>
      </c>
      <c r="V244" s="19">
        <v>10076</v>
      </c>
      <c r="W244" s="19">
        <v>0.152</v>
      </c>
      <c r="X244" s="19">
        <v>0</v>
      </c>
      <c r="Y244" s="19">
        <v>0</v>
      </c>
      <c r="Z244" s="19">
        <v>1</v>
      </c>
    </row>
    <row r="245" spans="1:26">
      <c r="A245" s="2">
        <v>45748</v>
      </c>
      <c r="B245" t="s">
        <v>24</v>
      </c>
      <c r="C245" t="s">
        <v>21</v>
      </c>
      <c r="D245" s="5">
        <v>53546.34</v>
      </c>
      <c r="E245">
        <v>8004</v>
      </c>
      <c r="F245">
        <v>0</v>
      </c>
      <c r="G245">
        <v>21</v>
      </c>
      <c r="H245">
        <v>95.2</v>
      </c>
      <c r="I245">
        <v>2.83</v>
      </c>
      <c r="J245">
        <v>0</v>
      </c>
      <c r="K245">
        <v>3</v>
      </c>
      <c r="L245" s="5">
        <v>763159.92</v>
      </c>
      <c r="M245">
        <v>177104.87</v>
      </c>
      <c r="N245">
        <f t="shared" si="11"/>
        <v>0</v>
      </c>
      <c r="O245">
        <f t="shared" si="12"/>
        <v>0</v>
      </c>
      <c r="P245">
        <f t="shared" si="13"/>
        <v>1</v>
      </c>
      <c r="T245" s="18">
        <v>763159.92</v>
      </c>
      <c r="U245" s="18">
        <v>53546.34</v>
      </c>
      <c r="V245" s="19">
        <v>8004</v>
      </c>
      <c r="W245" s="19">
        <v>0</v>
      </c>
      <c r="X245" s="19">
        <v>0</v>
      </c>
      <c r="Y245" s="19">
        <v>0</v>
      </c>
      <c r="Z245" s="19">
        <v>1</v>
      </c>
    </row>
    <row r="246" spans="1:26">
      <c r="A246" s="2">
        <v>45658</v>
      </c>
      <c r="B246" t="s">
        <v>15</v>
      </c>
      <c r="C246" t="s">
        <v>18</v>
      </c>
      <c r="D246" s="5">
        <v>76942.2</v>
      </c>
      <c r="E246">
        <v>8934</v>
      </c>
      <c r="F246">
        <v>8.4000000000000005E-2</v>
      </c>
      <c r="G246">
        <v>20</v>
      </c>
      <c r="H246">
        <v>91</v>
      </c>
      <c r="I246">
        <v>0.95</v>
      </c>
      <c r="J246">
        <v>0</v>
      </c>
      <c r="K246">
        <v>3.2</v>
      </c>
      <c r="L246" s="5">
        <v>802001.68</v>
      </c>
      <c r="M246">
        <v>159715.82</v>
      </c>
      <c r="N246">
        <f t="shared" si="11"/>
        <v>0</v>
      </c>
      <c r="O246">
        <f t="shared" si="12"/>
        <v>1</v>
      </c>
      <c r="P246">
        <f t="shared" si="13"/>
        <v>0</v>
      </c>
      <c r="T246" s="18">
        <v>802001.68</v>
      </c>
      <c r="U246" s="18">
        <v>76942.2</v>
      </c>
      <c r="V246" s="19">
        <v>8934</v>
      </c>
      <c r="W246" s="19">
        <v>8.4000000000000005E-2</v>
      </c>
      <c r="X246" s="19">
        <v>0</v>
      </c>
      <c r="Y246" s="19">
        <v>1</v>
      </c>
      <c r="Z246" s="19">
        <v>0</v>
      </c>
    </row>
    <row r="247" spans="1:26">
      <c r="A247" s="2">
        <v>45689</v>
      </c>
      <c r="B247" t="s">
        <v>15</v>
      </c>
      <c r="C247" t="s">
        <v>18</v>
      </c>
      <c r="D247" s="5">
        <v>48060.78</v>
      </c>
      <c r="E247">
        <v>8733</v>
      </c>
      <c r="F247">
        <v>0</v>
      </c>
      <c r="G247">
        <v>20</v>
      </c>
      <c r="H247">
        <v>89.9</v>
      </c>
      <c r="I247">
        <v>0.8</v>
      </c>
      <c r="J247">
        <v>0</v>
      </c>
      <c r="K247">
        <v>3.4</v>
      </c>
      <c r="L247" s="5">
        <v>750471.34</v>
      </c>
      <c r="M247">
        <v>133788.04</v>
      </c>
      <c r="N247">
        <f t="shared" si="11"/>
        <v>0</v>
      </c>
      <c r="O247">
        <f t="shared" si="12"/>
        <v>1</v>
      </c>
      <c r="P247">
        <f t="shared" si="13"/>
        <v>0</v>
      </c>
      <c r="T247" s="18">
        <v>750471.34</v>
      </c>
      <c r="U247" s="18">
        <v>48060.78</v>
      </c>
      <c r="V247" s="19">
        <v>8733</v>
      </c>
      <c r="W247" s="19">
        <v>0</v>
      </c>
      <c r="X247" s="19">
        <v>0</v>
      </c>
      <c r="Y247" s="19">
        <v>1</v>
      </c>
      <c r="Z247" s="19">
        <v>0</v>
      </c>
    </row>
    <row r="248" spans="1:26">
      <c r="A248" s="2">
        <v>45717</v>
      </c>
      <c r="B248" t="s">
        <v>15</v>
      </c>
      <c r="C248" t="s">
        <v>18</v>
      </c>
      <c r="D248" s="5">
        <v>57390.04</v>
      </c>
      <c r="E248">
        <v>7374</v>
      </c>
      <c r="F248">
        <v>0.21</v>
      </c>
      <c r="G248">
        <v>21</v>
      </c>
      <c r="H248">
        <v>91.8</v>
      </c>
      <c r="I248">
        <v>0.2</v>
      </c>
      <c r="J248">
        <v>0</v>
      </c>
      <c r="K248">
        <v>3.1</v>
      </c>
      <c r="L248" s="5">
        <v>679230.86</v>
      </c>
      <c r="M248">
        <v>106927.58</v>
      </c>
      <c r="N248">
        <f t="shared" si="11"/>
        <v>0</v>
      </c>
      <c r="O248">
        <f t="shared" si="12"/>
        <v>1</v>
      </c>
      <c r="P248">
        <f t="shared" si="13"/>
        <v>0</v>
      </c>
      <c r="T248" s="18">
        <v>679230.86</v>
      </c>
      <c r="U248" s="18">
        <v>57390.04</v>
      </c>
      <c r="V248" s="19">
        <v>7374</v>
      </c>
      <c r="W248" s="19">
        <v>0.21</v>
      </c>
      <c r="X248" s="19">
        <v>0</v>
      </c>
      <c r="Y248" s="19">
        <v>1</v>
      </c>
      <c r="Z248" s="19">
        <v>0</v>
      </c>
    </row>
    <row r="249" spans="1:26">
      <c r="A249" s="2">
        <v>45748</v>
      </c>
      <c r="B249" t="s">
        <v>15</v>
      </c>
      <c r="C249" t="s">
        <v>18</v>
      </c>
      <c r="D249" s="5">
        <v>21536.18</v>
      </c>
      <c r="E249">
        <v>8119</v>
      </c>
      <c r="F249">
        <v>0.22700000000000001</v>
      </c>
      <c r="G249">
        <v>20</v>
      </c>
      <c r="H249">
        <v>90.4</v>
      </c>
      <c r="I249">
        <v>1.7</v>
      </c>
      <c r="J249">
        <v>0</v>
      </c>
      <c r="K249">
        <v>3.3</v>
      </c>
      <c r="L249" s="5">
        <v>679888.74</v>
      </c>
      <c r="M249">
        <v>83406.89</v>
      </c>
      <c r="N249">
        <f t="shared" si="11"/>
        <v>0</v>
      </c>
      <c r="O249">
        <f t="shared" si="12"/>
        <v>1</v>
      </c>
      <c r="P249">
        <f t="shared" si="13"/>
        <v>0</v>
      </c>
      <c r="T249" s="18">
        <v>679888.74</v>
      </c>
      <c r="U249" s="18">
        <v>21536.18</v>
      </c>
      <c r="V249" s="19">
        <v>8119</v>
      </c>
      <c r="W249" s="19">
        <v>0.22700000000000001</v>
      </c>
      <c r="X249" s="19">
        <v>0</v>
      </c>
      <c r="Y249" s="19">
        <v>1</v>
      </c>
      <c r="Z249" s="19">
        <v>0</v>
      </c>
    </row>
    <row r="250" spans="1:26">
      <c r="A250" s="2">
        <v>45658</v>
      </c>
      <c r="B250" t="s">
        <v>20</v>
      </c>
      <c r="C250" t="s">
        <v>18</v>
      </c>
      <c r="D250" s="5">
        <v>40923.67</v>
      </c>
      <c r="E250">
        <v>3875</v>
      </c>
      <c r="F250">
        <v>0.15</v>
      </c>
      <c r="G250">
        <v>10</v>
      </c>
      <c r="H250">
        <v>96.1</v>
      </c>
      <c r="J250">
        <v>0</v>
      </c>
      <c r="K250">
        <v>3.8</v>
      </c>
      <c r="L250" s="5">
        <v>606783.67000000004</v>
      </c>
      <c r="M250">
        <v>74515.87</v>
      </c>
      <c r="N250">
        <f t="shared" si="11"/>
        <v>0</v>
      </c>
      <c r="O250">
        <f t="shared" si="12"/>
        <v>1</v>
      </c>
      <c r="P250">
        <f t="shared" si="13"/>
        <v>0</v>
      </c>
      <c r="T250" s="18">
        <v>606783.67000000004</v>
      </c>
      <c r="U250" s="18">
        <v>40923.67</v>
      </c>
      <c r="V250" s="19">
        <v>3875</v>
      </c>
      <c r="W250" s="19">
        <v>0.15</v>
      </c>
      <c r="X250" s="19">
        <v>0</v>
      </c>
      <c r="Y250" s="19">
        <v>1</v>
      </c>
      <c r="Z250" s="19">
        <v>0</v>
      </c>
    </row>
    <row r="251" spans="1:26">
      <c r="A251" s="2">
        <v>45689</v>
      </c>
      <c r="B251" t="s">
        <v>20</v>
      </c>
      <c r="C251" t="s">
        <v>18</v>
      </c>
      <c r="D251" s="5">
        <v>72932.55</v>
      </c>
      <c r="E251">
        <v>5765</v>
      </c>
      <c r="F251">
        <v>2.5999999999999999E-2</v>
      </c>
      <c r="G251">
        <v>17</v>
      </c>
      <c r="H251">
        <v>81.8</v>
      </c>
      <c r="I251">
        <v>5.0999999999999996</v>
      </c>
      <c r="J251">
        <v>0</v>
      </c>
      <c r="K251">
        <v>3.6</v>
      </c>
      <c r="L251" s="5">
        <v>642751.42000000004</v>
      </c>
      <c r="M251">
        <v>131942.15</v>
      </c>
      <c r="N251">
        <f t="shared" si="11"/>
        <v>0</v>
      </c>
      <c r="O251">
        <f t="shared" si="12"/>
        <v>1</v>
      </c>
      <c r="P251">
        <f t="shared" si="13"/>
        <v>0</v>
      </c>
      <c r="T251" s="18">
        <v>642751.42000000004</v>
      </c>
      <c r="U251" s="18">
        <v>72932.55</v>
      </c>
      <c r="V251" s="19">
        <v>5765</v>
      </c>
      <c r="W251" s="19">
        <v>2.5999999999999999E-2</v>
      </c>
      <c r="X251" s="19">
        <v>0</v>
      </c>
      <c r="Y251" s="19">
        <v>1</v>
      </c>
      <c r="Z251" s="19">
        <v>0</v>
      </c>
    </row>
    <row r="252" spans="1:26">
      <c r="A252" s="2">
        <v>45717</v>
      </c>
      <c r="B252" t="s">
        <v>20</v>
      </c>
      <c r="C252" t="s">
        <v>18</v>
      </c>
      <c r="D252" s="5">
        <v>38361.93</v>
      </c>
      <c r="E252">
        <v>6322</v>
      </c>
      <c r="F252">
        <v>0.27300000000000002</v>
      </c>
      <c r="G252">
        <v>15</v>
      </c>
      <c r="H252">
        <v>88.4</v>
      </c>
      <c r="I252">
        <v>0.83</v>
      </c>
      <c r="J252">
        <v>0</v>
      </c>
      <c r="K252">
        <v>4</v>
      </c>
      <c r="L252" s="5">
        <v>647953.78</v>
      </c>
      <c r="M252">
        <v>118497.43</v>
      </c>
      <c r="N252">
        <f t="shared" si="11"/>
        <v>0</v>
      </c>
      <c r="O252">
        <f t="shared" si="12"/>
        <v>1</v>
      </c>
      <c r="P252">
        <f t="shared" si="13"/>
        <v>0</v>
      </c>
      <c r="T252" s="18">
        <v>647953.78</v>
      </c>
      <c r="U252" s="18">
        <v>38361.93</v>
      </c>
      <c r="V252" s="19">
        <v>6322</v>
      </c>
      <c r="W252" s="19">
        <v>0.27300000000000002</v>
      </c>
      <c r="X252" s="19">
        <v>0</v>
      </c>
      <c r="Y252" s="19">
        <v>1</v>
      </c>
      <c r="Z252" s="19">
        <v>0</v>
      </c>
    </row>
    <row r="253" spans="1:26">
      <c r="A253" s="2">
        <v>45748</v>
      </c>
      <c r="B253" t="s">
        <v>20</v>
      </c>
      <c r="C253" t="s">
        <v>18</v>
      </c>
      <c r="D253" s="5">
        <v>97480.94</v>
      </c>
      <c r="E253">
        <v>6840</v>
      </c>
      <c r="F253">
        <v>8.6999999999999994E-2</v>
      </c>
      <c r="G253">
        <v>14</v>
      </c>
      <c r="H253">
        <v>79.2</v>
      </c>
      <c r="I253">
        <v>1.1399999999999999</v>
      </c>
      <c r="J253">
        <v>0</v>
      </c>
      <c r="K253">
        <v>4</v>
      </c>
      <c r="L253" s="5">
        <v>729440.45</v>
      </c>
      <c r="M253">
        <v>87614.29</v>
      </c>
      <c r="N253">
        <f t="shared" si="11"/>
        <v>0</v>
      </c>
      <c r="O253">
        <f t="shared" si="12"/>
        <v>1</v>
      </c>
      <c r="P253">
        <f t="shared" si="13"/>
        <v>0</v>
      </c>
      <c r="T253" s="18">
        <v>729440.45</v>
      </c>
      <c r="U253" s="18">
        <v>97480.94</v>
      </c>
      <c r="V253" s="19">
        <v>6840</v>
      </c>
      <c r="W253" s="19">
        <v>8.6999999999999994E-2</v>
      </c>
      <c r="X253" s="19">
        <v>0</v>
      </c>
      <c r="Y253" s="19">
        <v>1</v>
      </c>
      <c r="Z253" s="19">
        <v>0</v>
      </c>
    </row>
    <row r="254" spans="1:26">
      <c r="A254" s="2">
        <v>45658</v>
      </c>
      <c r="B254" t="s">
        <v>24</v>
      </c>
      <c r="C254" t="s">
        <v>21</v>
      </c>
      <c r="D254" s="5">
        <v>81801.8</v>
      </c>
      <c r="E254">
        <v>6782</v>
      </c>
      <c r="F254">
        <v>0.05</v>
      </c>
      <c r="G254">
        <v>16</v>
      </c>
      <c r="H254">
        <v>99</v>
      </c>
      <c r="I254">
        <v>9.5399999999999991</v>
      </c>
      <c r="J254">
        <v>0</v>
      </c>
      <c r="K254">
        <v>3.7</v>
      </c>
      <c r="L254" s="5">
        <v>764949</v>
      </c>
      <c r="M254">
        <v>148322.43</v>
      </c>
      <c r="N254">
        <f t="shared" si="11"/>
        <v>0</v>
      </c>
      <c r="O254">
        <f t="shared" si="12"/>
        <v>0</v>
      </c>
      <c r="P254">
        <f t="shared" si="13"/>
        <v>1</v>
      </c>
      <c r="T254" s="18">
        <v>764949</v>
      </c>
      <c r="U254" s="18">
        <v>81801.8</v>
      </c>
      <c r="V254" s="19">
        <v>6782</v>
      </c>
      <c r="W254" s="19">
        <v>0.05</v>
      </c>
      <c r="X254" s="19">
        <v>0</v>
      </c>
      <c r="Y254" s="19">
        <v>0</v>
      </c>
      <c r="Z254" s="19">
        <v>1</v>
      </c>
    </row>
    <row r="255" spans="1:26">
      <c r="A255" s="2">
        <v>45689</v>
      </c>
      <c r="B255" t="s">
        <v>24</v>
      </c>
      <c r="C255" t="s">
        <v>21</v>
      </c>
      <c r="D255" s="5">
        <v>63582.11</v>
      </c>
      <c r="E255">
        <v>6856</v>
      </c>
      <c r="F255">
        <v>7.3999999999999996E-2</v>
      </c>
      <c r="G255">
        <v>17</v>
      </c>
      <c r="H255">
        <v>89.5</v>
      </c>
      <c r="I255">
        <v>5.48</v>
      </c>
      <c r="J255">
        <v>0</v>
      </c>
      <c r="K255">
        <v>3.2</v>
      </c>
      <c r="L255" s="5">
        <v>799046.94</v>
      </c>
      <c r="M255">
        <v>144553.64000000001</v>
      </c>
      <c r="N255">
        <f t="shared" si="11"/>
        <v>0</v>
      </c>
      <c r="O255">
        <f t="shared" si="12"/>
        <v>0</v>
      </c>
      <c r="P255">
        <f t="shared" si="13"/>
        <v>1</v>
      </c>
      <c r="T255" s="18">
        <v>799046.94</v>
      </c>
      <c r="U255" s="18">
        <v>63582.11</v>
      </c>
      <c r="V255" s="19">
        <v>6856</v>
      </c>
      <c r="W255" s="19">
        <v>7.3999999999999996E-2</v>
      </c>
      <c r="X255" s="19">
        <v>0</v>
      </c>
      <c r="Y255" s="19">
        <v>0</v>
      </c>
      <c r="Z255" s="19">
        <v>1</v>
      </c>
    </row>
    <row r="256" spans="1:26">
      <c r="A256" s="2">
        <v>45717</v>
      </c>
      <c r="B256" t="s">
        <v>24</v>
      </c>
      <c r="C256" t="s">
        <v>21</v>
      </c>
      <c r="D256" s="5">
        <v>75412.740000000005</v>
      </c>
      <c r="E256">
        <v>5641</v>
      </c>
      <c r="F256">
        <v>5.8999999999999997E-2</v>
      </c>
      <c r="G256">
        <v>13</v>
      </c>
      <c r="H256">
        <v>87.9</v>
      </c>
      <c r="I256">
        <v>0.84</v>
      </c>
      <c r="J256">
        <v>0</v>
      </c>
      <c r="K256">
        <v>3.6</v>
      </c>
      <c r="L256" s="5">
        <v>720079.54</v>
      </c>
      <c r="M256">
        <v>119499.47</v>
      </c>
      <c r="N256">
        <f t="shared" si="11"/>
        <v>0</v>
      </c>
      <c r="O256">
        <f t="shared" si="12"/>
        <v>0</v>
      </c>
      <c r="P256">
        <f t="shared" si="13"/>
        <v>1</v>
      </c>
      <c r="T256" s="18">
        <v>720079.54</v>
      </c>
      <c r="U256" s="18">
        <v>75412.740000000005</v>
      </c>
      <c r="V256" s="19">
        <v>5641</v>
      </c>
      <c r="W256" s="19">
        <v>5.8999999999999997E-2</v>
      </c>
      <c r="X256" s="19">
        <v>0</v>
      </c>
      <c r="Y256" s="19">
        <v>0</v>
      </c>
      <c r="Z256" s="19">
        <v>1</v>
      </c>
    </row>
    <row r="257" spans="1:26">
      <c r="A257" s="2">
        <v>45748</v>
      </c>
      <c r="B257" t="s">
        <v>24</v>
      </c>
      <c r="C257" t="s">
        <v>21</v>
      </c>
      <c r="D257" s="5">
        <v>36290.080000000002</v>
      </c>
      <c r="E257">
        <v>5787</v>
      </c>
      <c r="F257">
        <v>0</v>
      </c>
      <c r="G257">
        <v>17</v>
      </c>
      <c r="H257">
        <v>88.3</v>
      </c>
      <c r="I257">
        <v>4.1900000000000004</v>
      </c>
      <c r="J257">
        <v>0</v>
      </c>
      <c r="K257">
        <v>4.0999999999999996</v>
      </c>
      <c r="L257" s="5">
        <v>612390.14</v>
      </c>
      <c r="M257">
        <v>108985.74</v>
      </c>
      <c r="N257">
        <f t="shared" si="11"/>
        <v>0</v>
      </c>
      <c r="O257">
        <f t="shared" si="12"/>
        <v>0</v>
      </c>
      <c r="P257">
        <f t="shared" si="13"/>
        <v>1</v>
      </c>
      <c r="T257" s="18">
        <v>612390.14</v>
      </c>
      <c r="U257" s="18">
        <v>36290.080000000002</v>
      </c>
      <c r="V257" s="19">
        <v>5787</v>
      </c>
      <c r="W257" s="19">
        <v>0</v>
      </c>
      <c r="X257" s="19">
        <v>0</v>
      </c>
      <c r="Y257" s="19">
        <v>0</v>
      </c>
      <c r="Z257" s="19">
        <v>1</v>
      </c>
    </row>
    <row r="258" spans="1:26">
      <c r="A258" s="2">
        <v>45658</v>
      </c>
      <c r="B258" t="s">
        <v>24</v>
      </c>
      <c r="C258" t="s">
        <v>28</v>
      </c>
      <c r="D258" s="5">
        <v>65272.58</v>
      </c>
      <c r="E258">
        <v>8165</v>
      </c>
      <c r="F258">
        <v>5.0999999999999997E-2</v>
      </c>
      <c r="G258">
        <v>19</v>
      </c>
      <c r="H258">
        <v>87.8</v>
      </c>
      <c r="I258">
        <v>1.26</v>
      </c>
      <c r="J258">
        <v>1</v>
      </c>
      <c r="K258">
        <v>4.3</v>
      </c>
      <c r="L258" s="5">
        <v>840108.12</v>
      </c>
      <c r="M258">
        <v>126587.01</v>
      </c>
      <c r="N258">
        <f t="shared" si="11"/>
        <v>1</v>
      </c>
      <c r="O258">
        <f t="shared" si="12"/>
        <v>0</v>
      </c>
      <c r="P258">
        <f t="shared" si="13"/>
        <v>0</v>
      </c>
      <c r="T258" s="18">
        <v>840108.12</v>
      </c>
      <c r="U258" s="18">
        <v>65272.58</v>
      </c>
      <c r="V258" s="19">
        <v>8165</v>
      </c>
      <c r="W258" s="19">
        <v>5.0999999999999997E-2</v>
      </c>
      <c r="X258" s="19">
        <v>1</v>
      </c>
      <c r="Y258" s="19">
        <v>0</v>
      </c>
      <c r="Z258" s="19">
        <v>0</v>
      </c>
    </row>
    <row r="259" spans="1:26">
      <c r="A259" s="2">
        <v>45689</v>
      </c>
      <c r="B259" t="s">
        <v>24</v>
      </c>
      <c r="C259" t="s">
        <v>28</v>
      </c>
      <c r="D259" s="5">
        <v>28670.43</v>
      </c>
      <c r="E259">
        <v>7574</v>
      </c>
      <c r="F259">
        <v>0.114</v>
      </c>
      <c r="G259">
        <v>19</v>
      </c>
      <c r="H259">
        <v>82.7</v>
      </c>
      <c r="I259">
        <v>2.74</v>
      </c>
      <c r="J259">
        <v>0</v>
      </c>
      <c r="K259">
        <v>4.5999999999999996</v>
      </c>
      <c r="L259" s="5">
        <v>697888.09</v>
      </c>
      <c r="M259">
        <v>116249.87</v>
      </c>
      <c r="N259">
        <f t="shared" ref="N259:N321" si="14">IF(C259="Mall", 1, 0)</f>
        <v>1</v>
      </c>
      <c r="O259">
        <f t="shared" si="12"/>
        <v>0</v>
      </c>
      <c r="P259">
        <f t="shared" si="13"/>
        <v>0</v>
      </c>
      <c r="T259" s="18">
        <v>697888.09</v>
      </c>
      <c r="U259" s="18">
        <v>28670.43</v>
      </c>
      <c r="V259" s="19">
        <v>7574</v>
      </c>
      <c r="W259" s="19">
        <v>0.114</v>
      </c>
      <c r="X259" s="19">
        <v>1</v>
      </c>
      <c r="Y259" s="19">
        <v>0</v>
      </c>
      <c r="Z259" s="19">
        <v>0</v>
      </c>
    </row>
    <row r="260" spans="1:26">
      <c r="A260" s="2">
        <v>45717</v>
      </c>
      <c r="B260" t="s">
        <v>24</v>
      </c>
      <c r="C260" t="s">
        <v>28</v>
      </c>
      <c r="D260" s="5">
        <v>44189.34</v>
      </c>
      <c r="E260">
        <v>8634</v>
      </c>
      <c r="F260">
        <v>0.14299999999999999</v>
      </c>
      <c r="G260">
        <v>19</v>
      </c>
      <c r="H260">
        <v>87.5</v>
      </c>
      <c r="I260">
        <v>3.69</v>
      </c>
      <c r="J260">
        <v>0</v>
      </c>
      <c r="K260">
        <v>4.4000000000000004</v>
      </c>
      <c r="L260" s="5">
        <v>746115.59</v>
      </c>
      <c r="M260">
        <v>94662.96</v>
      </c>
      <c r="N260">
        <f t="shared" si="14"/>
        <v>1</v>
      </c>
      <c r="O260">
        <f t="shared" si="12"/>
        <v>0</v>
      </c>
      <c r="P260">
        <f t="shared" si="13"/>
        <v>0</v>
      </c>
      <c r="T260" s="18">
        <v>746115.59</v>
      </c>
      <c r="U260" s="18">
        <v>44189.34</v>
      </c>
      <c r="V260" s="19">
        <v>8634</v>
      </c>
      <c r="W260" s="19">
        <v>0.14299999999999999</v>
      </c>
      <c r="X260" s="19">
        <v>1</v>
      </c>
      <c r="Y260" s="19">
        <v>0</v>
      </c>
      <c r="Z260" s="19">
        <v>0</v>
      </c>
    </row>
    <row r="261" spans="1:26">
      <c r="A261" s="2">
        <v>45748</v>
      </c>
      <c r="B261" t="s">
        <v>24</v>
      </c>
      <c r="C261" t="s">
        <v>28</v>
      </c>
      <c r="D261" s="5">
        <v>38397.82</v>
      </c>
      <c r="E261">
        <v>7836</v>
      </c>
      <c r="F261">
        <v>7.0000000000000001E-3</v>
      </c>
      <c r="G261">
        <v>21</v>
      </c>
      <c r="H261">
        <v>92.2</v>
      </c>
      <c r="I261">
        <v>1.82</v>
      </c>
      <c r="J261">
        <v>0</v>
      </c>
      <c r="K261">
        <v>3.6</v>
      </c>
      <c r="L261" s="5">
        <v>776110.32</v>
      </c>
      <c r="M261">
        <v>139676.21</v>
      </c>
      <c r="N261">
        <f t="shared" si="14"/>
        <v>1</v>
      </c>
      <c r="O261">
        <f t="shared" si="12"/>
        <v>0</v>
      </c>
      <c r="P261">
        <f t="shared" si="13"/>
        <v>0</v>
      </c>
      <c r="T261" s="18">
        <v>776110.32</v>
      </c>
      <c r="U261" s="18">
        <v>38397.82</v>
      </c>
      <c r="V261" s="19">
        <v>7836</v>
      </c>
      <c r="W261" s="19">
        <v>7.0000000000000001E-3</v>
      </c>
      <c r="X261" s="19">
        <v>1</v>
      </c>
      <c r="Y261" s="19">
        <v>0</v>
      </c>
      <c r="Z261" s="19">
        <v>0</v>
      </c>
    </row>
    <row r="262" spans="1:26">
      <c r="A262" s="2">
        <v>45658</v>
      </c>
      <c r="B262" t="s">
        <v>27</v>
      </c>
      <c r="C262" t="s">
        <v>18</v>
      </c>
      <c r="D262" s="5">
        <v>14519.37</v>
      </c>
      <c r="E262">
        <v>3047</v>
      </c>
      <c r="F262">
        <v>0.13500000000000001</v>
      </c>
      <c r="G262">
        <v>10</v>
      </c>
      <c r="H262">
        <v>90.3</v>
      </c>
      <c r="I262">
        <v>6.62</v>
      </c>
      <c r="J262">
        <v>0</v>
      </c>
      <c r="K262">
        <v>4.2</v>
      </c>
      <c r="L262" s="5">
        <v>528852.62</v>
      </c>
      <c r="M262">
        <v>68426.210000000006</v>
      </c>
      <c r="N262">
        <f t="shared" si="14"/>
        <v>0</v>
      </c>
      <c r="O262">
        <f t="shared" si="12"/>
        <v>1</v>
      </c>
      <c r="P262">
        <f t="shared" si="13"/>
        <v>0</v>
      </c>
      <c r="T262" s="18">
        <v>528852.62</v>
      </c>
      <c r="U262" s="18">
        <v>14519.37</v>
      </c>
      <c r="V262" s="19">
        <v>3047</v>
      </c>
      <c r="W262" s="19">
        <v>0.13500000000000001</v>
      </c>
      <c r="X262" s="19">
        <v>0</v>
      </c>
      <c r="Y262" s="19">
        <v>1</v>
      </c>
      <c r="Z262" s="19">
        <v>0</v>
      </c>
    </row>
    <row r="263" spans="1:26">
      <c r="A263" s="2">
        <v>45689</v>
      </c>
      <c r="B263" t="s">
        <v>27</v>
      </c>
      <c r="C263" t="s">
        <v>18</v>
      </c>
      <c r="D263" s="5">
        <v>43288.2</v>
      </c>
      <c r="E263">
        <v>4783</v>
      </c>
      <c r="F263">
        <v>0.16900000000000001</v>
      </c>
      <c r="G263">
        <v>13</v>
      </c>
      <c r="H263">
        <v>87.3</v>
      </c>
      <c r="J263">
        <v>0</v>
      </c>
      <c r="K263">
        <v>4.2</v>
      </c>
      <c r="L263" s="5">
        <v>605751.32999999996</v>
      </c>
      <c r="M263">
        <v>60685.53</v>
      </c>
      <c r="N263">
        <f t="shared" si="14"/>
        <v>0</v>
      </c>
      <c r="O263">
        <f t="shared" si="12"/>
        <v>1</v>
      </c>
      <c r="P263">
        <f t="shared" si="13"/>
        <v>0</v>
      </c>
      <c r="T263" s="18">
        <v>605751.32999999996</v>
      </c>
      <c r="U263" s="18">
        <v>43288.2</v>
      </c>
      <c r="V263" s="19">
        <v>4783</v>
      </c>
      <c r="W263" s="19">
        <v>0.16900000000000001</v>
      </c>
      <c r="X263" s="19">
        <v>0</v>
      </c>
      <c r="Y263" s="19">
        <v>1</v>
      </c>
      <c r="Z263" s="19">
        <v>0</v>
      </c>
    </row>
    <row r="264" spans="1:26">
      <c r="A264" s="2">
        <v>45717</v>
      </c>
      <c r="B264" t="s">
        <v>27</v>
      </c>
      <c r="C264" t="s">
        <v>18</v>
      </c>
      <c r="D264" s="5">
        <v>51450.55</v>
      </c>
      <c r="E264">
        <v>4902</v>
      </c>
      <c r="F264">
        <v>8.5999999999999993E-2</v>
      </c>
      <c r="G264">
        <v>11</v>
      </c>
      <c r="H264">
        <v>83.7</v>
      </c>
      <c r="I264">
        <v>6.92</v>
      </c>
      <c r="J264">
        <v>1</v>
      </c>
      <c r="K264">
        <v>4.2</v>
      </c>
      <c r="L264" s="5">
        <v>677640.65</v>
      </c>
      <c r="M264">
        <v>111610.89</v>
      </c>
      <c r="N264">
        <f t="shared" si="14"/>
        <v>0</v>
      </c>
      <c r="O264">
        <f t="shared" si="12"/>
        <v>1</v>
      </c>
      <c r="P264">
        <f t="shared" si="13"/>
        <v>0</v>
      </c>
      <c r="T264" s="18">
        <v>677640.65</v>
      </c>
      <c r="U264" s="18">
        <v>51450.55</v>
      </c>
      <c r="V264" s="19">
        <v>4902</v>
      </c>
      <c r="W264" s="19">
        <v>8.5999999999999993E-2</v>
      </c>
      <c r="X264" s="19">
        <v>0</v>
      </c>
      <c r="Y264" s="19">
        <v>1</v>
      </c>
      <c r="Z264" s="19">
        <v>0</v>
      </c>
    </row>
    <row r="265" spans="1:26">
      <c r="A265" s="2">
        <v>45748</v>
      </c>
      <c r="B265" t="s">
        <v>27</v>
      </c>
      <c r="C265" t="s">
        <v>18</v>
      </c>
      <c r="D265" s="5">
        <v>58688.26</v>
      </c>
      <c r="E265">
        <v>4022</v>
      </c>
      <c r="F265">
        <v>0.217</v>
      </c>
      <c r="G265">
        <v>12</v>
      </c>
      <c r="H265">
        <v>93.8</v>
      </c>
      <c r="I265">
        <v>11.78</v>
      </c>
      <c r="J265">
        <v>0</v>
      </c>
      <c r="K265">
        <v>3.7</v>
      </c>
      <c r="L265" s="5">
        <v>636613.23</v>
      </c>
      <c r="M265">
        <v>78908.350000000006</v>
      </c>
      <c r="N265">
        <f t="shared" si="14"/>
        <v>0</v>
      </c>
      <c r="O265">
        <f t="shared" si="12"/>
        <v>1</v>
      </c>
      <c r="P265">
        <f t="shared" si="13"/>
        <v>0</v>
      </c>
      <c r="T265" s="18">
        <v>636613.23</v>
      </c>
      <c r="U265" s="18">
        <v>58688.26</v>
      </c>
      <c r="V265" s="19">
        <v>4022</v>
      </c>
      <c r="W265" s="19">
        <v>0.217</v>
      </c>
      <c r="X265" s="19">
        <v>0</v>
      </c>
      <c r="Y265" s="19">
        <v>1</v>
      </c>
      <c r="Z265" s="19">
        <v>0</v>
      </c>
    </row>
    <row r="266" spans="1:26">
      <c r="A266" s="2">
        <v>45658</v>
      </c>
      <c r="B266" t="s">
        <v>15</v>
      </c>
      <c r="C266" t="s">
        <v>18</v>
      </c>
      <c r="D266" s="5">
        <v>58981.91</v>
      </c>
      <c r="E266">
        <v>7324</v>
      </c>
      <c r="F266">
        <v>9.4E-2</v>
      </c>
      <c r="G266">
        <v>15</v>
      </c>
      <c r="H266">
        <v>95.8</v>
      </c>
      <c r="I266">
        <v>0.5</v>
      </c>
      <c r="J266">
        <v>0</v>
      </c>
      <c r="K266">
        <v>3.5</v>
      </c>
      <c r="L266" s="5">
        <v>708985.19</v>
      </c>
      <c r="M266">
        <v>125368.16</v>
      </c>
      <c r="N266">
        <f t="shared" si="14"/>
        <v>0</v>
      </c>
      <c r="O266">
        <f t="shared" si="12"/>
        <v>1</v>
      </c>
      <c r="P266">
        <f t="shared" si="13"/>
        <v>0</v>
      </c>
      <c r="T266" s="18">
        <v>708985.19</v>
      </c>
      <c r="U266" s="18">
        <v>58981.91</v>
      </c>
      <c r="V266" s="19">
        <v>7324</v>
      </c>
      <c r="W266" s="19">
        <v>9.4E-2</v>
      </c>
      <c r="X266" s="19">
        <v>0</v>
      </c>
      <c r="Y266" s="19">
        <v>1</v>
      </c>
      <c r="Z266" s="19">
        <v>0</v>
      </c>
    </row>
    <row r="267" spans="1:26">
      <c r="A267" s="2">
        <v>45689</v>
      </c>
      <c r="B267" t="s">
        <v>15</v>
      </c>
      <c r="C267" t="s">
        <v>18</v>
      </c>
      <c r="D267" s="5">
        <v>73454.539999999994</v>
      </c>
      <c r="E267">
        <v>8129</v>
      </c>
      <c r="F267">
        <v>0.21099999999999999</v>
      </c>
      <c r="G267">
        <v>20</v>
      </c>
      <c r="H267">
        <v>85.2</v>
      </c>
      <c r="I267">
        <v>0.88</v>
      </c>
      <c r="J267">
        <v>0</v>
      </c>
      <c r="K267">
        <v>3.7</v>
      </c>
      <c r="L267" s="5">
        <v>767792.94</v>
      </c>
      <c r="M267">
        <v>96235.77</v>
      </c>
      <c r="N267">
        <f t="shared" si="14"/>
        <v>0</v>
      </c>
      <c r="O267">
        <f t="shared" ref="O267:O321" si="15">IF(C267="High Street", 1, 0)</f>
        <v>1</v>
      </c>
      <c r="P267">
        <f t="shared" ref="P267:P321" si="16">IF(C267="airport", 1, 0)</f>
        <v>0</v>
      </c>
      <c r="T267" s="18">
        <v>767792.94</v>
      </c>
      <c r="U267" s="18">
        <v>73454.539999999994</v>
      </c>
      <c r="V267" s="19">
        <v>8129</v>
      </c>
      <c r="W267" s="19">
        <v>0.21099999999999999</v>
      </c>
      <c r="X267" s="19">
        <v>0</v>
      </c>
      <c r="Y267" s="19">
        <v>1</v>
      </c>
      <c r="Z267" s="19">
        <v>0</v>
      </c>
    </row>
    <row r="268" spans="1:26">
      <c r="A268" s="2">
        <v>45717</v>
      </c>
      <c r="B268" t="s">
        <v>15</v>
      </c>
      <c r="C268" t="s">
        <v>18</v>
      </c>
      <c r="D268" s="5">
        <v>56602.39</v>
      </c>
      <c r="E268">
        <v>7969</v>
      </c>
      <c r="F268">
        <v>0.17</v>
      </c>
      <c r="G268">
        <v>21</v>
      </c>
      <c r="H268">
        <v>88.3</v>
      </c>
      <c r="I268">
        <v>2.25</v>
      </c>
      <c r="J268">
        <v>0</v>
      </c>
      <c r="K268">
        <v>3.7</v>
      </c>
      <c r="L268" s="5">
        <v>745580.51</v>
      </c>
      <c r="M268">
        <v>116273.68</v>
      </c>
      <c r="N268">
        <f t="shared" si="14"/>
        <v>0</v>
      </c>
      <c r="O268">
        <f t="shared" si="15"/>
        <v>1</v>
      </c>
      <c r="P268">
        <f t="shared" si="16"/>
        <v>0</v>
      </c>
      <c r="T268" s="18">
        <v>745580.51</v>
      </c>
      <c r="U268" s="18">
        <v>56602.39</v>
      </c>
      <c r="V268" s="19">
        <v>7969</v>
      </c>
      <c r="W268" s="19">
        <v>0.17</v>
      </c>
      <c r="X268" s="19">
        <v>0</v>
      </c>
      <c r="Y268" s="19">
        <v>1</v>
      </c>
      <c r="Z268" s="19">
        <v>0</v>
      </c>
    </row>
    <row r="269" spans="1:26">
      <c r="A269" s="2">
        <v>45748</v>
      </c>
      <c r="B269" t="s">
        <v>15</v>
      </c>
      <c r="C269" t="s">
        <v>18</v>
      </c>
      <c r="D269" s="5">
        <v>67722.289999999994</v>
      </c>
      <c r="E269">
        <v>7240</v>
      </c>
      <c r="F269">
        <v>2.5999999999999999E-2</v>
      </c>
      <c r="G269">
        <v>15</v>
      </c>
      <c r="H269">
        <v>92.9</v>
      </c>
      <c r="I269">
        <v>0.28999999999999998</v>
      </c>
      <c r="J269">
        <v>0</v>
      </c>
      <c r="K269">
        <v>3.5</v>
      </c>
      <c r="L269" s="5">
        <v>762328.31</v>
      </c>
      <c r="M269">
        <v>159158.19</v>
      </c>
      <c r="N269">
        <f t="shared" si="14"/>
        <v>0</v>
      </c>
      <c r="O269">
        <f t="shared" si="15"/>
        <v>1</v>
      </c>
      <c r="P269">
        <f t="shared" si="16"/>
        <v>0</v>
      </c>
      <c r="T269" s="18">
        <v>762328.31</v>
      </c>
      <c r="U269" s="18">
        <v>67722.289999999994</v>
      </c>
      <c r="V269" s="19">
        <v>7240</v>
      </c>
      <c r="W269" s="19">
        <v>2.5999999999999999E-2</v>
      </c>
      <c r="X269" s="19">
        <v>0</v>
      </c>
      <c r="Y269" s="19">
        <v>1</v>
      </c>
      <c r="Z269" s="19">
        <v>0</v>
      </c>
    </row>
    <row r="270" spans="1:26">
      <c r="A270" s="2">
        <v>45658</v>
      </c>
      <c r="B270" t="s">
        <v>15</v>
      </c>
      <c r="C270" t="s">
        <v>28</v>
      </c>
      <c r="D270" s="5">
        <v>48752.92</v>
      </c>
      <c r="E270">
        <v>8052</v>
      </c>
      <c r="F270">
        <v>0.106</v>
      </c>
      <c r="G270">
        <v>16</v>
      </c>
      <c r="H270">
        <v>94.9</v>
      </c>
      <c r="I270">
        <v>0.65</v>
      </c>
      <c r="J270">
        <v>0</v>
      </c>
      <c r="K270">
        <v>3.6</v>
      </c>
      <c r="L270" s="5">
        <v>660633.99</v>
      </c>
      <c r="M270">
        <v>118768.66</v>
      </c>
      <c r="N270">
        <f t="shared" si="14"/>
        <v>1</v>
      </c>
      <c r="O270">
        <f t="shared" si="15"/>
        <v>0</v>
      </c>
      <c r="P270">
        <f t="shared" si="16"/>
        <v>0</v>
      </c>
      <c r="T270" s="18">
        <v>660633.99</v>
      </c>
      <c r="U270" s="18">
        <v>48752.92</v>
      </c>
      <c r="V270" s="19">
        <v>8052</v>
      </c>
      <c r="W270" s="19">
        <v>0.106</v>
      </c>
      <c r="X270" s="19">
        <v>1</v>
      </c>
      <c r="Y270" s="19">
        <v>0</v>
      </c>
      <c r="Z270" s="19">
        <v>0</v>
      </c>
    </row>
    <row r="271" spans="1:26">
      <c r="A271" s="2">
        <v>45689</v>
      </c>
      <c r="B271" t="s">
        <v>15</v>
      </c>
      <c r="C271" t="s">
        <v>28</v>
      </c>
      <c r="D271" s="5">
        <v>23914.97</v>
      </c>
      <c r="E271">
        <v>8018</v>
      </c>
      <c r="F271">
        <v>0.13900000000000001</v>
      </c>
      <c r="G271">
        <v>20</v>
      </c>
      <c r="H271">
        <v>89</v>
      </c>
      <c r="I271">
        <v>0.2</v>
      </c>
      <c r="J271">
        <v>0</v>
      </c>
      <c r="K271">
        <v>3.5</v>
      </c>
      <c r="L271" s="5">
        <v>739374.56</v>
      </c>
      <c r="M271">
        <v>121032.29</v>
      </c>
      <c r="N271">
        <f t="shared" si="14"/>
        <v>1</v>
      </c>
      <c r="O271">
        <f t="shared" si="15"/>
        <v>0</v>
      </c>
      <c r="P271">
        <f t="shared" si="16"/>
        <v>0</v>
      </c>
      <c r="T271" s="18">
        <v>739374.56</v>
      </c>
      <c r="U271" s="18">
        <v>23914.97</v>
      </c>
      <c r="V271" s="19">
        <v>8018</v>
      </c>
      <c r="W271" s="19">
        <v>0.13900000000000001</v>
      </c>
      <c r="X271" s="19">
        <v>1</v>
      </c>
      <c r="Y271" s="19">
        <v>0</v>
      </c>
      <c r="Z271" s="19">
        <v>0</v>
      </c>
    </row>
    <row r="272" spans="1:26">
      <c r="A272" s="2">
        <v>45717</v>
      </c>
      <c r="B272" t="s">
        <v>15</v>
      </c>
      <c r="C272" t="s">
        <v>28</v>
      </c>
      <c r="D272" s="5">
        <v>61995.3</v>
      </c>
      <c r="E272">
        <v>10192</v>
      </c>
      <c r="F272">
        <v>0.19800000000000001</v>
      </c>
      <c r="G272">
        <v>21</v>
      </c>
      <c r="H272">
        <v>87.6</v>
      </c>
      <c r="I272">
        <v>3.63</v>
      </c>
      <c r="J272">
        <v>1</v>
      </c>
      <c r="K272">
        <v>3.8</v>
      </c>
      <c r="L272" s="5">
        <v>799756.46</v>
      </c>
      <c r="M272">
        <v>105052.93</v>
      </c>
      <c r="N272">
        <f t="shared" si="14"/>
        <v>1</v>
      </c>
      <c r="O272">
        <f t="shared" si="15"/>
        <v>0</v>
      </c>
      <c r="P272">
        <f t="shared" si="16"/>
        <v>0</v>
      </c>
      <c r="T272" s="18">
        <v>799756.46</v>
      </c>
      <c r="U272" s="18">
        <v>61995.3</v>
      </c>
      <c r="V272" s="19">
        <v>10192</v>
      </c>
      <c r="W272" s="19">
        <v>0.19800000000000001</v>
      </c>
      <c r="X272" s="19">
        <v>1</v>
      </c>
      <c r="Y272" s="19">
        <v>0</v>
      </c>
      <c r="Z272" s="19">
        <v>0</v>
      </c>
    </row>
    <row r="273" spans="1:26">
      <c r="A273" s="2">
        <v>45748</v>
      </c>
      <c r="B273" t="s">
        <v>15</v>
      </c>
      <c r="C273" t="s">
        <v>28</v>
      </c>
      <c r="D273" s="5">
        <v>29344.93</v>
      </c>
      <c r="E273">
        <v>7446</v>
      </c>
      <c r="F273">
        <v>0.111</v>
      </c>
      <c r="G273">
        <v>15</v>
      </c>
      <c r="H273">
        <v>86.2</v>
      </c>
      <c r="I273">
        <v>0.2</v>
      </c>
      <c r="J273">
        <v>0</v>
      </c>
      <c r="K273">
        <v>3.2</v>
      </c>
      <c r="L273" s="5">
        <v>593343</v>
      </c>
      <c r="M273">
        <v>82832.240000000005</v>
      </c>
      <c r="N273">
        <f t="shared" si="14"/>
        <v>1</v>
      </c>
      <c r="O273">
        <f t="shared" si="15"/>
        <v>0</v>
      </c>
      <c r="P273">
        <f t="shared" si="16"/>
        <v>0</v>
      </c>
      <c r="T273" s="18">
        <v>593343</v>
      </c>
      <c r="U273" s="18">
        <v>29344.93</v>
      </c>
      <c r="V273" s="19">
        <v>7446</v>
      </c>
      <c r="W273" s="19">
        <v>0.111</v>
      </c>
      <c r="X273" s="19">
        <v>1</v>
      </c>
      <c r="Y273" s="19">
        <v>0</v>
      </c>
      <c r="Z273" s="19">
        <v>0</v>
      </c>
    </row>
    <row r="274" spans="1:26">
      <c r="A274" s="2">
        <v>45658</v>
      </c>
      <c r="B274" t="s">
        <v>27</v>
      </c>
      <c r="C274" t="s">
        <v>18</v>
      </c>
      <c r="D274" s="5">
        <v>50532.17</v>
      </c>
      <c r="E274">
        <v>5689</v>
      </c>
      <c r="F274">
        <v>5.1999999999999998E-2</v>
      </c>
      <c r="G274">
        <v>17</v>
      </c>
      <c r="H274">
        <v>85.6</v>
      </c>
      <c r="I274">
        <v>6.23</v>
      </c>
      <c r="J274">
        <v>0</v>
      </c>
      <c r="K274">
        <v>3.3</v>
      </c>
      <c r="L274" s="5">
        <v>645039.97</v>
      </c>
      <c r="M274">
        <v>83093.33</v>
      </c>
      <c r="N274">
        <f t="shared" si="14"/>
        <v>0</v>
      </c>
      <c r="O274">
        <f t="shared" si="15"/>
        <v>1</v>
      </c>
      <c r="P274">
        <f t="shared" si="16"/>
        <v>0</v>
      </c>
      <c r="T274" s="18">
        <v>645039.97</v>
      </c>
      <c r="U274" s="18">
        <v>50532.17</v>
      </c>
      <c r="V274" s="19">
        <v>5689</v>
      </c>
      <c r="W274" s="19">
        <v>5.1999999999999998E-2</v>
      </c>
      <c r="X274" s="19">
        <v>0</v>
      </c>
      <c r="Y274" s="19">
        <v>1</v>
      </c>
      <c r="Z274" s="19">
        <v>0</v>
      </c>
    </row>
    <row r="275" spans="1:26">
      <c r="A275" s="2">
        <v>45689</v>
      </c>
      <c r="B275" t="s">
        <v>27</v>
      </c>
      <c r="C275" t="s">
        <v>18</v>
      </c>
      <c r="D275" s="5">
        <v>17562.57</v>
      </c>
      <c r="E275">
        <v>3326</v>
      </c>
      <c r="F275">
        <v>0.153</v>
      </c>
      <c r="G275">
        <v>14</v>
      </c>
      <c r="H275">
        <v>88.1</v>
      </c>
      <c r="I275">
        <v>1.04</v>
      </c>
      <c r="J275">
        <v>0</v>
      </c>
      <c r="K275">
        <v>3.1</v>
      </c>
      <c r="L275" s="5">
        <v>561597.32999999996</v>
      </c>
      <c r="M275">
        <v>75072.75</v>
      </c>
      <c r="N275">
        <f t="shared" si="14"/>
        <v>0</v>
      </c>
      <c r="O275">
        <f t="shared" si="15"/>
        <v>1</v>
      </c>
      <c r="P275">
        <f t="shared" si="16"/>
        <v>0</v>
      </c>
      <c r="T275" s="18">
        <v>561597.32999999996</v>
      </c>
      <c r="U275" s="18">
        <v>17562.57</v>
      </c>
      <c r="V275" s="19">
        <v>3326</v>
      </c>
      <c r="W275" s="19">
        <v>0.153</v>
      </c>
      <c r="X275" s="19">
        <v>0</v>
      </c>
      <c r="Y275" s="19">
        <v>1</v>
      </c>
      <c r="Z275" s="19">
        <v>0</v>
      </c>
    </row>
    <row r="276" spans="1:26">
      <c r="A276" s="2">
        <v>45717</v>
      </c>
      <c r="B276" t="s">
        <v>27</v>
      </c>
      <c r="C276" t="s">
        <v>18</v>
      </c>
      <c r="D276" s="5">
        <v>47648.71</v>
      </c>
      <c r="E276">
        <v>5767</v>
      </c>
      <c r="F276">
        <v>0.14099999999999999</v>
      </c>
      <c r="G276">
        <v>17</v>
      </c>
      <c r="H276">
        <v>89.8</v>
      </c>
      <c r="I276">
        <v>1.76</v>
      </c>
      <c r="J276">
        <v>0</v>
      </c>
      <c r="K276">
        <v>3.1</v>
      </c>
      <c r="L276" s="5">
        <v>635837.74</v>
      </c>
      <c r="M276">
        <v>114740.64</v>
      </c>
      <c r="N276">
        <f t="shared" si="14"/>
        <v>0</v>
      </c>
      <c r="O276">
        <f t="shared" si="15"/>
        <v>1</v>
      </c>
      <c r="P276">
        <f t="shared" si="16"/>
        <v>0</v>
      </c>
      <c r="T276" s="18">
        <v>635837.74</v>
      </c>
      <c r="U276" s="18">
        <v>47648.71</v>
      </c>
      <c r="V276" s="19">
        <v>5767</v>
      </c>
      <c r="W276" s="19">
        <v>0.14099999999999999</v>
      </c>
      <c r="X276" s="19">
        <v>0</v>
      </c>
      <c r="Y276" s="19">
        <v>1</v>
      </c>
      <c r="Z276" s="19">
        <v>0</v>
      </c>
    </row>
    <row r="277" spans="1:26">
      <c r="A277" s="2">
        <v>45748</v>
      </c>
      <c r="B277" t="s">
        <v>27</v>
      </c>
      <c r="C277" t="s">
        <v>18</v>
      </c>
      <c r="D277" s="5">
        <v>38297.58</v>
      </c>
      <c r="E277">
        <v>5893</v>
      </c>
      <c r="F277">
        <v>0.247</v>
      </c>
      <c r="G277">
        <v>18</v>
      </c>
      <c r="H277">
        <v>77.599999999999994</v>
      </c>
      <c r="I277">
        <v>2.86</v>
      </c>
      <c r="J277">
        <v>0</v>
      </c>
      <c r="K277">
        <v>3</v>
      </c>
      <c r="L277" s="5">
        <v>686737.87</v>
      </c>
      <c r="M277">
        <v>83839.67</v>
      </c>
      <c r="N277">
        <f t="shared" si="14"/>
        <v>0</v>
      </c>
      <c r="O277">
        <f t="shared" si="15"/>
        <v>1</v>
      </c>
      <c r="P277">
        <f t="shared" si="16"/>
        <v>0</v>
      </c>
      <c r="T277" s="18">
        <v>686737.87</v>
      </c>
      <c r="U277" s="18">
        <v>38297.58</v>
      </c>
      <c r="V277" s="19">
        <v>5893</v>
      </c>
      <c r="W277" s="19">
        <v>0.247</v>
      </c>
      <c r="X277" s="19">
        <v>0</v>
      </c>
      <c r="Y277" s="19">
        <v>1</v>
      </c>
      <c r="Z277" s="19">
        <v>0</v>
      </c>
    </row>
    <row r="278" spans="1:26">
      <c r="A278" s="2">
        <v>45658</v>
      </c>
      <c r="B278" t="s">
        <v>24</v>
      </c>
      <c r="C278" t="s">
        <v>16</v>
      </c>
      <c r="D278" s="5">
        <v>61784.11</v>
      </c>
      <c r="E278">
        <v>8564</v>
      </c>
      <c r="F278">
        <v>0.13</v>
      </c>
      <c r="G278">
        <v>17</v>
      </c>
      <c r="H278">
        <v>87.4</v>
      </c>
      <c r="I278">
        <v>18.14</v>
      </c>
      <c r="J278">
        <v>1</v>
      </c>
      <c r="K278">
        <v>3.4</v>
      </c>
      <c r="L278" s="5">
        <v>673076.34</v>
      </c>
      <c r="M278">
        <v>93899.76</v>
      </c>
      <c r="N278">
        <f t="shared" si="14"/>
        <v>0</v>
      </c>
      <c r="O278">
        <f t="shared" si="15"/>
        <v>0</v>
      </c>
      <c r="P278">
        <f t="shared" si="16"/>
        <v>0</v>
      </c>
      <c r="T278" s="18">
        <v>673076.34</v>
      </c>
      <c r="U278" s="18">
        <v>61784.11</v>
      </c>
      <c r="V278" s="19">
        <v>8564</v>
      </c>
      <c r="W278" s="19">
        <v>0.13</v>
      </c>
      <c r="X278" s="19">
        <v>0</v>
      </c>
      <c r="Y278" s="19">
        <v>0</v>
      </c>
      <c r="Z278" s="19">
        <v>0</v>
      </c>
    </row>
    <row r="279" spans="1:26">
      <c r="A279" s="2">
        <v>45689</v>
      </c>
      <c r="B279" t="s">
        <v>24</v>
      </c>
      <c r="C279" t="s">
        <v>16</v>
      </c>
      <c r="D279" s="5">
        <v>36832.33</v>
      </c>
      <c r="E279">
        <v>8001</v>
      </c>
      <c r="F279">
        <v>0</v>
      </c>
      <c r="G279">
        <v>19</v>
      </c>
      <c r="H279">
        <v>88.7</v>
      </c>
      <c r="I279">
        <v>3.39</v>
      </c>
      <c r="J279">
        <v>0</v>
      </c>
      <c r="K279">
        <v>4</v>
      </c>
      <c r="L279" s="5">
        <v>738548.42</v>
      </c>
      <c r="M279">
        <v>134282.76999999999</v>
      </c>
      <c r="N279">
        <f t="shared" si="14"/>
        <v>0</v>
      </c>
      <c r="O279">
        <f t="shared" si="15"/>
        <v>0</v>
      </c>
      <c r="P279">
        <f t="shared" si="16"/>
        <v>0</v>
      </c>
      <c r="T279" s="18">
        <v>738548.42</v>
      </c>
      <c r="U279" s="18">
        <v>36832.33</v>
      </c>
      <c r="V279" s="19">
        <v>8001</v>
      </c>
      <c r="W279" s="19">
        <v>0</v>
      </c>
      <c r="X279" s="19">
        <v>0</v>
      </c>
      <c r="Y279" s="19">
        <v>0</v>
      </c>
      <c r="Z279" s="19">
        <v>0</v>
      </c>
    </row>
    <row r="280" spans="1:26">
      <c r="A280" s="2">
        <v>45717</v>
      </c>
      <c r="B280" t="s">
        <v>24</v>
      </c>
      <c r="C280" t="s">
        <v>16</v>
      </c>
      <c r="D280" s="5">
        <v>48609.41</v>
      </c>
      <c r="E280">
        <v>9324</v>
      </c>
      <c r="F280">
        <v>0.21299999999999999</v>
      </c>
      <c r="G280">
        <v>18</v>
      </c>
      <c r="H280">
        <v>86.5</v>
      </c>
      <c r="I280">
        <v>1.44</v>
      </c>
      <c r="J280">
        <v>0</v>
      </c>
      <c r="K280">
        <v>3.9</v>
      </c>
      <c r="L280" s="5">
        <v>756619.77</v>
      </c>
      <c r="M280">
        <v>112057.69</v>
      </c>
      <c r="N280">
        <f t="shared" si="14"/>
        <v>0</v>
      </c>
      <c r="O280">
        <f t="shared" si="15"/>
        <v>0</v>
      </c>
      <c r="P280">
        <f t="shared" si="16"/>
        <v>0</v>
      </c>
      <c r="T280" s="18">
        <v>756619.77</v>
      </c>
      <c r="U280" s="18">
        <v>48609.41</v>
      </c>
      <c r="V280" s="19">
        <v>9324</v>
      </c>
      <c r="W280" s="19">
        <v>0.21299999999999999</v>
      </c>
      <c r="X280" s="19">
        <v>0</v>
      </c>
      <c r="Y280" s="19">
        <v>0</v>
      </c>
      <c r="Z280" s="19">
        <v>0</v>
      </c>
    </row>
    <row r="281" spans="1:26">
      <c r="A281" s="2">
        <v>45748</v>
      </c>
      <c r="B281" t="s">
        <v>24</v>
      </c>
      <c r="C281" t="s">
        <v>16</v>
      </c>
      <c r="D281" s="5">
        <v>70284.06</v>
      </c>
      <c r="E281">
        <v>9109</v>
      </c>
      <c r="F281">
        <v>4.0000000000000001E-3</v>
      </c>
      <c r="G281">
        <v>23</v>
      </c>
      <c r="H281">
        <v>87</v>
      </c>
      <c r="I281">
        <v>3.65</v>
      </c>
      <c r="J281">
        <v>0</v>
      </c>
      <c r="K281">
        <v>3.7</v>
      </c>
      <c r="L281" s="5">
        <v>761122.42</v>
      </c>
      <c r="M281">
        <v>149802.04</v>
      </c>
      <c r="N281">
        <f t="shared" si="14"/>
        <v>0</v>
      </c>
      <c r="O281">
        <f t="shared" si="15"/>
        <v>0</v>
      </c>
      <c r="P281">
        <f t="shared" si="16"/>
        <v>0</v>
      </c>
      <c r="T281" s="18">
        <v>761122.42</v>
      </c>
      <c r="U281" s="18">
        <v>70284.06</v>
      </c>
      <c r="V281" s="19">
        <v>9109</v>
      </c>
      <c r="W281" s="19">
        <v>4.0000000000000001E-3</v>
      </c>
      <c r="X281" s="19">
        <v>0</v>
      </c>
      <c r="Y281" s="19">
        <v>0</v>
      </c>
      <c r="Z281" s="19">
        <v>0</v>
      </c>
    </row>
    <row r="282" spans="1:26">
      <c r="A282" s="2">
        <v>45658</v>
      </c>
      <c r="B282" t="s">
        <v>24</v>
      </c>
      <c r="C282" t="s">
        <v>18</v>
      </c>
      <c r="D282" s="5">
        <v>45940.39</v>
      </c>
      <c r="E282">
        <v>4022</v>
      </c>
      <c r="F282">
        <v>6.9000000000000006E-2</v>
      </c>
      <c r="G282">
        <v>10</v>
      </c>
      <c r="H282">
        <v>83</v>
      </c>
      <c r="I282">
        <v>1.23</v>
      </c>
      <c r="J282">
        <v>1</v>
      </c>
      <c r="K282">
        <v>3.8</v>
      </c>
      <c r="L282" s="5">
        <v>524899.56999999995</v>
      </c>
      <c r="M282">
        <v>63619.98</v>
      </c>
      <c r="N282">
        <f t="shared" si="14"/>
        <v>0</v>
      </c>
      <c r="O282">
        <f t="shared" si="15"/>
        <v>1</v>
      </c>
      <c r="P282">
        <f t="shared" si="16"/>
        <v>0</v>
      </c>
      <c r="T282" s="18">
        <v>524899.56999999995</v>
      </c>
      <c r="U282" s="18">
        <v>45940.39</v>
      </c>
      <c r="V282" s="19">
        <v>4022</v>
      </c>
      <c r="W282" s="19">
        <v>6.9000000000000006E-2</v>
      </c>
      <c r="X282" s="19">
        <v>0</v>
      </c>
      <c r="Y282" s="19">
        <v>1</v>
      </c>
      <c r="Z282" s="19">
        <v>0</v>
      </c>
    </row>
    <row r="283" spans="1:26">
      <c r="A283" s="2">
        <v>45689</v>
      </c>
      <c r="B283" t="s">
        <v>24</v>
      </c>
      <c r="C283" t="s">
        <v>18</v>
      </c>
      <c r="D283" s="5">
        <v>34771.26</v>
      </c>
      <c r="E283">
        <v>4355</v>
      </c>
      <c r="F283">
        <v>5.0999999999999997E-2</v>
      </c>
      <c r="G283">
        <v>15</v>
      </c>
      <c r="H283">
        <v>87.9</v>
      </c>
      <c r="I283">
        <v>3.09</v>
      </c>
      <c r="J283">
        <v>0</v>
      </c>
      <c r="K283">
        <v>4</v>
      </c>
      <c r="L283" s="5">
        <v>555557.77</v>
      </c>
      <c r="M283">
        <v>86475.51</v>
      </c>
      <c r="N283">
        <f t="shared" si="14"/>
        <v>0</v>
      </c>
      <c r="O283">
        <f t="shared" si="15"/>
        <v>1</v>
      </c>
      <c r="P283">
        <f t="shared" si="16"/>
        <v>0</v>
      </c>
      <c r="T283" s="18">
        <v>555557.77</v>
      </c>
      <c r="U283" s="18">
        <v>34771.26</v>
      </c>
      <c r="V283" s="19">
        <v>4355</v>
      </c>
      <c r="W283" s="19">
        <v>5.0999999999999997E-2</v>
      </c>
      <c r="X283" s="19">
        <v>0</v>
      </c>
      <c r="Y283" s="19">
        <v>1</v>
      </c>
      <c r="Z283" s="19">
        <v>0</v>
      </c>
    </row>
    <row r="284" spans="1:26">
      <c r="A284" s="2">
        <v>45717</v>
      </c>
      <c r="B284" t="s">
        <v>24</v>
      </c>
      <c r="C284" t="s">
        <v>18</v>
      </c>
      <c r="D284" s="5">
        <v>66104.19</v>
      </c>
      <c r="E284">
        <v>5745</v>
      </c>
      <c r="F284">
        <v>7.0000000000000007E-2</v>
      </c>
      <c r="G284">
        <v>17</v>
      </c>
      <c r="H284">
        <v>95.8</v>
      </c>
      <c r="I284">
        <v>3.15</v>
      </c>
      <c r="J284">
        <v>0</v>
      </c>
      <c r="K284">
        <v>4</v>
      </c>
      <c r="L284" s="5">
        <v>714083.68</v>
      </c>
      <c r="M284">
        <v>127231.74</v>
      </c>
      <c r="N284">
        <f t="shared" si="14"/>
        <v>0</v>
      </c>
      <c r="O284">
        <f t="shared" si="15"/>
        <v>1</v>
      </c>
      <c r="P284">
        <f t="shared" si="16"/>
        <v>0</v>
      </c>
      <c r="T284" s="18">
        <v>714083.68</v>
      </c>
      <c r="U284" s="18">
        <v>66104.19</v>
      </c>
      <c r="V284" s="19">
        <v>5745</v>
      </c>
      <c r="W284" s="19">
        <v>7.0000000000000007E-2</v>
      </c>
      <c r="X284" s="19">
        <v>0</v>
      </c>
      <c r="Y284" s="19">
        <v>1</v>
      </c>
      <c r="Z284" s="19">
        <v>0</v>
      </c>
    </row>
    <row r="285" spans="1:26">
      <c r="A285" s="2">
        <v>45748</v>
      </c>
      <c r="B285" t="s">
        <v>24</v>
      </c>
      <c r="C285" t="s">
        <v>18</v>
      </c>
      <c r="D285" s="5">
        <v>18599.21</v>
      </c>
      <c r="E285">
        <v>3027</v>
      </c>
      <c r="F285">
        <v>0.122</v>
      </c>
      <c r="G285">
        <v>11</v>
      </c>
      <c r="H285">
        <v>80.900000000000006</v>
      </c>
      <c r="I285">
        <v>6.44</v>
      </c>
      <c r="J285">
        <v>0</v>
      </c>
      <c r="K285">
        <v>4.2</v>
      </c>
      <c r="L285" s="5">
        <v>497439.82</v>
      </c>
      <c r="M285">
        <v>93372.75</v>
      </c>
      <c r="N285">
        <f t="shared" si="14"/>
        <v>0</v>
      </c>
      <c r="O285">
        <f t="shared" si="15"/>
        <v>1</v>
      </c>
      <c r="P285">
        <f t="shared" si="16"/>
        <v>0</v>
      </c>
      <c r="T285" s="18">
        <v>497439.82</v>
      </c>
      <c r="U285" s="18">
        <v>18599.21</v>
      </c>
      <c r="V285" s="19">
        <v>3027</v>
      </c>
      <c r="W285" s="19">
        <v>0.122</v>
      </c>
      <c r="X285" s="19">
        <v>0</v>
      </c>
      <c r="Y285" s="19">
        <v>1</v>
      </c>
      <c r="Z285" s="19">
        <v>0</v>
      </c>
    </row>
    <row r="286" spans="1:26">
      <c r="A286" s="2">
        <v>45658</v>
      </c>
      <c r="B286" t="s">
        <v>27</v>
      </c>
      <c r="C286" t="s">
        <v>16</v>
      </c>
      <c r="D286" s="5">
        <v>60183.06</v>
      </c>
      <c r="E286">
        <v>5562</v>
      </c>
      <c r="F286">
        <v>8.9999999999999993E-3</v>
      </c>
      <c r="G286">
        <v>13</v>
      </c>
      <c r="H286">
        <v>86.3</v>
      </c>
      <c r="I286">
        <v>0.2</v>
      </c>
      <c r="J286">
        <v>1</v>
      </c>
      <c r="K286">
        <v>4.5</v>
      </c>
      <c r="L286" s="5">
        <v>636775.66</v>
      </c>
      <c r="M286">
        <v>122636.86</v>
      </c>
      <c r="N286">
        <f t="shared" si="14"/>
        <v>0</v>
      </c>
      <c r="O286">
        <f t="shared" si="15"/>
        <v>0</v>
      </c>
      <c r="P286">
        <f t="shared" si="16"/>
        <v>0</v>
      </c>
      <c r="T286" s="18">
        <v>636775.66</v>
      </c>
      <c r="U286" s="18">
        <v>60183.06</v>
      </c>
      <c r="V286" s="19">
        <v>5562</v>
      </c>
      <c r="W286" s="19">
        <v>8.9999999999999993E-3</v>
      </c>
      <c r="X286" s="19">
        <v>0</v>
      </c>
      <c r="Y286" s="19">
        <v>0</v>
      </c>
      <c r="Z286" s="19">
        <v>0</v>
      </c>
    </row>
    <row r="287" spans="1:26">
      <c r="A287" s="2">
        <v>45689</v>
      </c>
      <c r="B287" t="s">
        <v>27</v>
      </c>
      <c r="C287" t="s">
        <v>16</v>
      </c>
      <c r="D287" s="5">
        <v>74539.14</v>
      </c>
      <c r="E287">
        <v>4487</v>
      </c>
      <c r="F287">
        <v>0.14000000000000001</v>
      </c>
      <c r="G287">
        <v>10</v>
      </c>
      <c r="H287">
        <v>90.4</v>
      </c>
      <c r="I287">
        <v>0.59</v>
      </c>
      <c r="J287">
        <v>0</v>
      </c>
      <c r="K287">
        <v>4.5</v>
      </c>
      <c r="L287" s="5">
        <v>633009.53</v>
      </c>
      <c r="M287">
        <v>123782.67</v>
      </c>
      <c r="N287">
        <f t="shared" si="14"/>
        <v>0</v>
      </c>
      <c r="O287">
        <f t="shared" si="15"/>
        <v>0</v>
      </c>
      <c r="P287">
        <f t="shared" si="16"/>
        <v>0</v>
      </c>
      <c r="T287" s="18">
        <v>633009.53</v>
      </c>
      <c r="U287" s="18">
        <v>74539.14</v>
      </c>
      <c r="V287" s="19">
        <v>4487</v>
      </c>
      <c r="W287" s="19">
        <v>0.14000000000000001</v>
      </c>
      <c r="X287" s="19">
        <v>0</v>
      </c>
      <c r="Y287" s="19">
        <v>0</v>
      </c>
      <c r="Z287" s="19">
        <v>0</v>
      </c>
    </row>
    <row r="288" spans="1:26">
      <c r="A288" s="2">
        <v>45717</v>
      </c>
      <c r="B288" t="s">
        <v>27</v>
      </c>
      <c r="C288" t="s">
        <v>16</v>
      </c>
      <c r="D288" s="5">
        <v>55371.97</v>
      </c>
      <c r="E288">
        <v>4162</v>
      </c>
      <c r="F288">
        <v>0.183</v>
      </c>
      <c r="G288">
        <v>11</v>
      </c>
      <c r="H288">
        <v>92</v>
      </c>
      <c r="I288">
        <v>0.2</v>
      </c>
      <c r="J288">
        <v>1</v>
      </c>
      <c r="K288">
        <v>4.2</v>
      </c>
      <c r="L288" s="5">
        <v>609949</v>
      </c>
      <c r="M288">
        <v>126789.25</v>
      </c>
      <c r="N288">
        <f t="shared" si="14"/>
        <v>0</v>
      </c>
      <c r="O288">
        <f t="shared" si="15"/>
        <v>0</v>
      </c>
      <c r="P288">
        <f t="shared" si="16"/>
        <v>0</v>
      </c>
      <c r="T288" s="18">
        <v>609949</v>
      </c>
      <c r="U288" s="18">
        <v>55371.97</v>
      </c>
      <c r="V288" s="19">
        <v>4162</v>
      </c>
      <c r="W288" s="19">
        <v>0.183</v>
      </c>
      <c r="X288" s="19">
        <v>0</v>
      </c>
      <c r="Y288" s="19">
        <v>0</v>
      </c>
      <c r="Z288" s="19">
        <v>0</v>
      </c>
    </row>
    <row r="289" spans="1:26">
      <c r="A289" s="2">
        <v>45748</v>
      </c>
      <c r="B289" t="s">
        <v>27</v>
      </c>
      <c r="C289" t="s">
        <v>16</v>
      </c>
      <c r="D289" s="5">
        <v>40928.69</v>
      </c>
      <c r="E289">
        <v>4094</v>
      </c>
      <c r="F289">
        <v>0.17399999999999999</v>
      </c>
      <c r="G289">
        <v>13</v>
      </c>
      <c r="H289">
        <v>82.4</v>
      </c>
      <c r="I289">
        <v>1.36</v>
      </c>
      <c r="J289">
        <v>0</v>
      </c>
      <c r="K289">
        <v>4.8</v>
      </c>
      <c r="L289" s="5">
        <v>548103.69999999995</v>
      </c>
      <c r="M289">
        <v>99905.52</v>
      </c>
      <c r="N289">
        <f t="shared" si="14"/>
        <v>0</v>
      </c>
      <c r="O289">
        <f t="shared" si="15"/>
        <v>0</v>
      </c>
      <c r="P289">
        <f t="shared" si="16"/>
        <v>0</v>
      </c>
      <c r="T289" s="18">
        <v>548103.69999999995</v>
      </c>
      <c r="U289" s="18">
        <v>40928.69</v>
      </c>
      <c r="V289" s="19">
        <v>4094</v>
      </c>
      <c r="W289" s="19">
        <v>0.17399999999999999</v>
      </c>
      <c r="X289" s="19">
        <v>0</v>
      </c>
      <c r="Y289" s="19">
        <v>0</v>
      </c>
      <c r="Z289" s="19">
        <v>0</v>
      </c>
    </row>
    <row r="290" spans="1:26">
      <c r="A290" s="2">
        <v>45658</v>
      </c>
      <c r="B290" t="s">
        <v>15</v>
      </c>
      <c r="C290" t="s">
        <v>16</v>
      </c>
      <c r="D290" s="5">
        <v>70012.41</v>
      </c>
      <c r="E290">
        <v>8484</v>
      </c>
      <c r="F290">
        <v>0.27300000000000002</v>
      </c>
      <c r="G290">
        <v>23</v>
      </c>
      <c r="H290">
        <v>72.900000000000006</v>
      </c>
      <c r="I290">
        <v>3.34</v>
      </c>
      <c r="J290">
        <v>0</v>
      </c>
      <c r="K290">
        <v>3.7</v>
      </c>
      <c r="L290" s="5">
        <v>729424.42</v>
      </c>
      <c r="M290">
        <v>75592.28</v>
      </c>
      <c r="N290">
        <f t="shared" si="14"/>
        <v>0</v>
      </c>
      <c r="O290">
        <f t="shared" si="15"/>
        <v>0</v>
      </c>
      <c r="P290">
        <f t="shared" si="16"/>
        <v>0</v>
      </c>
      <c r="T290" s="18">
        <v>729424.42</v>
      </c>
      <c r="U290" s="18">
        <v>70012.41</v>
      </c>
      <c r="V290" s="19">
        <v>8484</v>
      </c>
      <c r="W290" s="19">
        <v>0.27300000000000002</v>
      </c>
      <c r="X290" s="19">
        <v>0</v>
      </c>
      <c r="Y290" s="19">
        <v>0</v>
      </c>
      <c r="Z290" s="19">
        <v>0</v>
      </c>
    </row>
    <row r="291" spans="1:26">
      <c r="A291" s="2">
        <v>45689</v>
      </c>
      <c r="B291" t="s">
        <v>15</v>
      </c>
      <c r="C291" t="s">
        <v>16</v>
      </c>
      <c r="D291" s="5">
        <v>68909.259999999995</v>
      </c>
      <c r="E291">
        <v>7794</v>
      </c>
      <c r="F291">
        <v>0.28399999999999997</v>
      </c>
      <c r="G291">
        <v>22</v>
      </c>
      <c r="H291">
        <v>89</v>
      </c>
      <c r="I291">
        <v>0.33</v>
      </c>
      <c r="J291">
        <v>0</v>
      </c>
      <c r="K291">
        <v>4</v>
      </c>
      <c r="L291" s="5">
        <v>696261.49</v>
      </c>
      <c r="M291">
        <v>72455.350000000006</v>
      </c>
      <c r="N291">
        <f t="shared" si="14"/>
        <v>0</v>
      </c>
      <c r="O291">
        <f t="shared" si="15"/>
        <v>0</v>
      </c>
      <c r="P291">
        <f t="shared" si="16"/>
        <v>0</v>
      </c>
      <c r="T291" s="18">
        <v>696261.49</v>
      </c>
      <c r="U291" s="18">
        <v>68909.259999999995</v>
      </c>
      <c r="V291" s="19">
        <v>7794</v>
      </c>
      <c r="W291" s="19">
        <v>0.28399999999999997</v>
      </c>
      <c r="X291" s="19">
        <v>0</v>
      </c>
      <c r="Y291" s="19">
        <v>0</v>
      </c>
      <c r="Z291" s="19">
        <v>0</v>
      </c>
    </row>
    <row r="292" spans="1:26">
      <c r="A292" s="2">
        <v>45717</v>
      </c>
      <c r="B292" t="s">
        <v>15</v>
      </c>
      <c r="C292" t="s">
        <v>16</v>
      </c>
      <c r="D292" s="5">
        <v>56737.3</v>
      </c>
      <c r="E292">
        <v>8300</v>
      </c>
      <c r="F292">
        <v>3.2000000000000001E-2</v>
      </c>
      <c r="G292">
        <v>21</v>
      </c>
      <c r="H292">
        <v>83.2</v>
      </c>
      <c r="I292">
        <v>3.44</v>
      </c>
      <c r="J292">
        <v>1</v>
      </c>
      <c r="K292">
        <v>4.3</v>
      </c>
      <c r="L292" s="5">
        <v>813316.71</v>
      </c>
      <c r="M292">
        <v>110077.42</v>
      </c>
      <c r="N292">
        <f t="shared" si="14"/>
        <v>0</v>
      </c>
      <c r="O292">
        <f t="shared" si="15"/>
        <v>0</v>
      </c>
      <c r="P292">
        <f t="shared" si="16"/>
        <v>0</v>
      </c>
      <c r="T292" s="18">
        <v>813316.71</v>
      </c>
      <c r="U292" s="18">
        <v>56737.3</v>
      </c>
      <c r="V292" s="19">
        <v>8300</v>
      </c>
      <c r="W292" s="19">
        <v>3.2000000000000001E-2</v>
      </c>
      <c r="X292" s="19">
        <v>0</v>
      </c>
      <c r="Y292" s="19">
        <v>0</v>
      </c>
      <c r="Z292" s="19">
        <v>0</v>
      </c>
    </row>
    <row r="293" spans="1:26">
      <c r="A293" s="2">
        <v>45748</v>
      </c>
      <c r="B293" t="s">
        <v>15</v>
      </c>
      <c r="C293" t="s">
        <v>16</v>
      </c>
      <c r="D293" s="5">
        <v>54080.91</v>
      </c>
      <c r="E293">
        <v>7083</v>
      </c>
      <c r="F293">
        <v>0</v>
      </c>
      <c r="G293">
        <v>15</v>
      </c>
      <c r="H293">
        <v>97</v>
      </c>
      <c r="I293">
        <v>5.33</v>
      </c>
      <c r="J293">
        <v>0</v>
      </c>
      <c r="K293">
        <v>4.0999999999999996</v>
      </c>
      <c r="L293" s="5">
        <v>702068.92</v>
      </c>
      <c r="M293">
        <v>111266.63</v>
      </c>
      <c r="N293">
        <f t="shared" si="14"/>
        <v>0</v>
      </c>
      <c r="O293">
        <f t="shared" si="15"/>
        <v>0</v>
      </c>
      <c r="P293">
        <f t="shared" si="16"/>
        <v>0</v>
      </c>
      <c r="T293" s="18">
        <v>702068.92</v>
      </c>
      <c r="U293" s="18">
        <v>54080.91</v>
      </c>
      <c r="V293" s="19">
        <v>7083</v>
      </c>
      <c r="W293" s="19">
        <v>0</v>
      </c>
      <c r="X293" s="19">
        <v>0</v>
      </c>
      <c r="Y293" s="19">
        <v>0</v>
      </c>
      <c r="Z293" s="19">
        <v>0</v>
      </c>
    </row>
    <row r="294" spans="1:26">
      <c r="A294" s="2">
        <v>45658</v>
      </c>
      <c r="B294" t="s">
        <v>27</v>
      </c>
      <c r="C294" t="s">
        <v>18</v>
      </c>
      <c r="D294" s="5">
        <v>51996.32</v>
      </c>
      <c r="E294">
        <v>3834</v>
      </c>
      <c r="F294">
        <v>9.6000000000000002E-2</v>
      </c>
      <c r="G294">
        <v>8</v>
      </c>
      <c r="H294">
        <v>86.7</v>
      </c>
      <c r="I294">
        <v>6.04</v>
      </c>
      <c r="J294">
        <v>0</v>
      </c>
      <c r="K294">
        <v>4.5</v>
      </c>
      <c r="L294" s="5">
        <v>546223.69999999995</v>
      </c>
      <c r="M294">
        <v>100769.17</v>
      </c>
      <c r="N294">
        <f t="shared" si="14"/>
        <v>0</v>
      </c>
      <c r="O294">
        <f t="shared" si="15"/>
        <v>1</v>
      </c>
      <c r="P294">
        <f t="shared" si="16"/>
        <v>0</v>
      </c>
      <c r="T294" s="18">
        <v>546223.69999999995</v>
      </c>
      <c r="U294" s="18">
        <v>51996.32</v>
      </c>
      <c r="V294" s="19">
        <v>3834</v>
      </c>
      <c r="W294" s="19">
        <v>9.6000000000000002E-2</v>
      </c>
      <c r="X294" s="19">
        <v>0</v>
      </c>
      <c r="Y294" s="19">
        <v>1</v>
      </c>
      <c r="Z294" s="19">
        <v>0</v>
      </c>
    </row>
    <row r="295" spans="1:26">
      <c r="A295" s="2">
        <v>45689</v>
      </c>
      <c r="B295" t="s">
        <v>27</v>
      </c>
      <c r="C295" t="s">
        <v>18</v>
      </c>
      <c r="D295" s="5">
        <v>40102.879999999997</v>
      </c>
      <c r="E295">
        <v>2358</v>
      </c>
      <c r="F295">
        <v>0.11899999999999999</v>
      </c>
      <c r="G295">
        <v>9</v>
      </c>
      <c r="H295">
        <v>88.7</v>
      </c>
      <c r="I295">
        <v>1.6</v>
      </c>
      <c r="J295">
        <v>0</v>
      </c>
      <c r="K295">
        <v>4.2</v>
      </c>
      <c r="L295" s="5">
        <v>533121.26</v>
      </c>
      <c r="M295">
        <v>55063.39</v>
      </c>
      <c r="N295">
        <f t="shared" si="14"/>
        <v>0</v>
      </c>
      <c r="O295">
        <f t="shared" si="15"/>
        <v>1</v>
      </c>
      <c r="P295">
        <f t="shared" si="16"/>
        <v>0</v>
      </c>
      <c r="T295" s="18">
        <v>533121.26</v>
      </c>
      <c r="U295" s="18">
        <v>40102.879999999997</v>
      </c>
      <c r="V295" s="19">
        <v>2358</v>
      </c>
      <c r="W295" s="19">
        <v>0.11899999999999999</v>
      </c>
      <c r="X295" s="19">
        <v>0</v>
      </c>
      <c r="Y295" s="19">
        <v>1</v>
      </c>
      <c r="Z295" s="19">
        <v>0</v>
      </c>
    </row>
    <row r="296" spans="1:26">
      <c r="A296" s="2">
        <v>45717</v>
      </c>
      <c r="B296" t="s">
        <v>27</v>
      </c>
      <c r="C296" t="s">
        <v>18</v>
      </c>
      <c r="D296" s="5">
        <v>59825.51</v>
      </c>
      <c r="E296">
        <v>1231</v>
      </c>
      <c r="F296">
        <v>0.214</v>
      </c>
      <c r="G296">
        <v>10</v>
      </c>
      <c r="H296">
        <v>84.8</v>
      </c>
      <c r="I296">
        <v>8.9600000000000009</v>
      </c>
      <c r="J296">
        <v>0</v>
      </c>
      <c r="K296">
        <v>4.7</v>
      </c>
      <c r="L296" s="5">
        <v>498970.32</v>
      </c>
      <c r="M296">
        <v>69656.7</v>
      </c>
      <c r="N296">
        <f t="shared" si="14"/>
        <v>0</v>
      </c>
      <c r="O296">
        <f t="shared" si="15"/>
        <v>1</v>
      </c>
      <c r="P296">
        <f t="shared" si="16"/>
        <v>0</v>
      </c>
      <c r="T296" s="18">
        <v>498970.32</v>
      </c>
      <c r="U296" s="18">
        <v>59825.51</v>
      </c>
      <c r="V296" s="19">
        <v>1231</v>
      </c>
      <c r="W296" s="19">
        <v>0.214</v>
      </c>
      <c r="X296" s="19">
        <v>0</v>
      </c>
      <c r="Y296" s="19">
        <v>1</v>
      </c>
      <c r="Z296" s="19">
        <v>0</v>
      </c>
    </row>
    <row r="297" spans="1:26">
      <c r="A297" s="2">
        <v>45748</v>
      </c>
      <c r="B297" t="s">
        <v>27</v>
      </c>
      <c r="C297" t="s">
        <v>18</v>
      </c>
      <c r="D297" s="5">
        <v>27398.28</v>
      </c>
      <c r="E297">
        <v>1723</v>
      </c>
      <c r="F297">
        <v>0.17100000000000001</v>
      </c>
      <c r="G297">
        <v>9</v>
      </c>
      <c r="H297">
        <v>81</v>
      </c>
      <c r="I297">
        <v>0.74</v>
      </c>
      <c r="J297">
        <v>0</v>
      </c>
      <c r="K297">
        <v>4.5999999999999996</v>
      </c>
      <c r="L297" s="5">
        <v>487738.26</v>
      </c>
      <c r="M297">
        <v>96435.6</v>
      </c>
      <c r="N297">
        <f t="shared" si="14"/>
        <v>0</v>
      </c>
      <c r="O297">
        <f t="shared" si="15"/>
        <v>1</v>
      </c>
      <c r="P297">
        <f t="shared" si="16"/>
        <v>0</v>
      </c>
      <c r="T297" s="18">
        <v>487738.26</v>
      </c>
      <c r="U297" s="18">
        <v>27398.28</v>
      </c>
      <c r="V297" s="19">
        <v>1723</v>
      </c>
      <c r="W297" s="19">
        <v>0.17100000000000001</v>
      </c>
      <c r="X297" s="19">
        <v>0</v>
      </c>
      <c r="Y297" s="19">
        <v>1</v>
      </c>
      <c r="Z297" s="19">
        <v>0</v>
      </c>
    </row>
    <row r="298" spans="1:26">
      <c r="A298" s="2">
        <v>45658</v>
      </c>
      <c r="B298" t="s">
        <v>27</v>
      </c>
      <c r="C298" t="s">
        <v>18</v>
      </c>
      <c r="D298" s="5">
        <v>55599.56</v>
      </c>
      <c r="E298">
        <v>5896</v>
      </c>
      <c r="F298">
        <v>3.5999999999999997E-2</v>
      </c>
      <c r="G298">
        <v>12</v>
      </c>
      <c r="H298">
        <v>93.1</v>
      </c>
      <c r="I298">
        <v>6.13</v>
      </c>
      <c r="J298">
        <v>0</v>
      </c>
      <c r="K298">
        <v>3.3</v>
      </c>
      <c r="L298" s="5">
        <v>668459.37</v>
      </c>
      <c r="M298">
        <v>126435.42</v>
      </c>
      <c r="N298">
        <f t="shared" si="14"/>
        <v>0</v>
      </c>
      <c r="O298">
        <f t="shared" si="15"/>
        <v>1</v>
      </c>
      <c r="P298">
        <f t="shared" si="16"/>
        <v>0</v>
      </c>
      <c r="T298" s="18">
        <v>668459.37</v>
      </c>
      <c r="U298" s="18">
        <v>55599.56</v>
      </c>
      <c r="V298" s="19">
        <v>5896</v>
      </c>
      <c r="W298" s="19">
        <v>3.5999999999999997E-2</v>
      </c>
      <c r="X298" s="19">
        <v>0</v>
      </c>
      <c r="Y298" s="19">
        <v>1</v>
      </c>
      <c r="Z298" s="19">
        <v>0</v>
      </c>
    </row>
    <row r="299" spans="1:26">
      <c r="A299" s="2">
        <v>45689</v>
      </c>
      <c r="B299" t="s">
        <v>27</v>
      </c>
      <c r="C299" t="s">
        <v>18</v>
      </c>
      <c r="D299" s="5">
        <v>55477.61</v>
      </c>
      <c r="E299">
        <v>5903</v>
      </c>
      <c r="F299">
        <v>0.10199999999999999</v>
      </c>
      <c r="G299">
        <v>14</v>
      </c>
      <c r="H299">
        <v>96.2</v>
      </c>
      <c r="I299">
        <v>1.41</v>
      </c>
      <c r="J299">
        <v>0</v>
      </c>
      <c r="K299">
        <v>3.3</v>
      </c>
      <c r="L299" s="5">
        <v>763162.45</v>
      </c>
      <c r="M299">
        <v>162524.04999999999</v>
      </c>
      <c r="N299">
        <f t="shared" si="14"/>
        <v>0</v>
      </c>
      <c r="O299">
        <f t="shared" si="15"/>
        <v>1</v>
      </c>
      <c r="P299">
        <f t="shared" si="16"/>
        <v>0</v>
      </c>
      <c r="T299" s="18">
        <v>763162.45</v>
      </c>
      <c r="U299" s="18">
        <v>55477.61</v>
      </c>
      <c r="V299" s="19">
        <v>5903</v>
      </c>
      <c r="W299" s="19">
        <v>0.10199999999999999</v>
      </c>
      <c r="X299" s="19">
        <v>0</v>
      </c>
      <c r="Y299" s="19">
        <v>1</v>
      </c>
      <c r="Z299" s="19">
        <v>0</v>
      </c>
    </row>
    <row r="300" spans="1:26">
      <c r="A300" s="2">
        <v>45717</v>
      </c>
      <c r="B300" t="s">
        <v>27</v>
      </c>
      <c r="C300" t="s">
        <v>18</v>
      </c>
      <c r="D300" s="5">
        <v>46174.7</v>
      </c>
      <c r="E300">
        <v>4898</v>
      </c>
      <c r="F300">
        <v>0.114</v>
      </c>
      <c r="G300">
        <v>11</v>
      </c>
      <c r="H300">
        <v>91.7</v>
      </c>
      <c r="I300">
        <v>3.75</v>
      </c>
      <c r="J300">
        <v>0</v>
      </c>
      <c r="K300">
        <v>3.1</v>
      </c>
      <c r="L300" s="5">
        <v>599017.32999999996</v>
      </c>
      <c r="M300">
        <v>134009.92000000001</v>
      </c>
      <c r="N300">
        <f t="shared" si="14"/>
        <v>0</v>
      </c>
      <c r="O300">
        <f t="shared" si="15"/>
        <v>1</v>
      </c>
      <c r="P300">
        <f t="shared" si="16"/>
        <v>0</v>
      </c>
      <c r="T300" s="18">
        <v>599017.32999999996</v>
      </c>
      <c r="U300" s="18">
        <v>46174.7</v>
      </c>
      <c r="V300" s="19">
        <v>4898</v>
      </c>
      <c r="W300" s="19">
        <v>0.114</v>
      </c>
      <c r="X300" s="19">
        <v>0</v>
      </c>
      <c r="Y300" s="19">
        <v>1</v>
      </c>
      <c r="Z300" s="19">
        <v>0</v>
      </c>
    </row>
    <row r="301" spans="1:26">
      <c r="A301" s="2">
        <v>45748</v>
      </c>
      <c r="B301" t="s">
        <v>27</v>
      </c>
      <c r="C301" t="s">
        <v>18</v>
      </c>
      <c r="D301" s="5">
        <v>24362.98</v>
      </c>
      <c r="E301">
        <v>1462</v>
      </c>
      <c r="F301">
        <v>0.11700000000000001</v>
      </c>
      <c r="G301">
        <v>6</v>
      </c>
      <c r="H301">
        <v>89.3</v>
      </c>
      <c r="I301">
        <v>15.06</v>
      </c>
      <c r="J301">
        <v>0</v>
      </c>
      <c r="K301">
        <v>3.2</v>
      </c>
      <c r="L301" s="5">
        <v>401582.58</v>
      </c>
      <c r="M301">
        <v>68454.929999999993</v>
      </c>
      <c r="N301">
        <f t="shared" si="14"/>
        <v>0</v>
      </c>
      <c r="O301">
        <f t="shared" si="15"/>
        <v>1</v>
      </c>
      <c r="P301">
        <f t="shared" si="16"/>
        <v>0</v>
      </c>
      <c r="T301" s="18">
        <v>401582.58</v>
      </c>
      <c r="U301" s="18">
        <v>24362.98</v>
      </c>
      <c r="V301" s="19">
        <v>1462</v>
      </c>
      <c r="W301" s="19">
        <v>0.11700000000000001</v>
      </c>
      <c r="X301" s="19">
        <v>0</v>
      </c>
      <c r="Y301" s="19">
        <v>1</v>
      </c>
      <c r="Z301" s="19">
        <v>0</v>
      </c>
    </row>
    <row r="302" spans="1:26">
      <c r="A302" s="2">
        <v>45658</v>
      </c>
      <c r="B302" t="s">
        <v>20</v>
      </c>
      <c r="C302" t="s">
        <v>28</v>
      </c>
      <c r="D302" s="5">
        <v>40647.67</v>
      </c>
      <c r="E302">
        <v>8252</v>
      </c>
      <c r="F302">
        <v>0.14099999999999999</v>
      </c>
      <c r="G302">
        <v>22</v>
      </c>
      <c r="H302">
        <v>88.2</v>
      </c>
      <c r="I302">
        <v>5.07</v>
      </c>
      <c r="J302">
        <v>1</v>
      </c>
      <c r="K302">
        <v>4.0999999999999996</v>
      </c>
      <c r="L302" s="5">
        <v>703812.99</v>
      </c>
      <c r="M302">
        <v>133577.98000000001</v>
      </c>
      <c r="N302">
        <f t="shared" si="14"/>
        <v>1</v>
      </c>
      <c r="O302">
        <f t="shared" si="15"/>
        <v>0</v>
      </c>
      <c r="P302">
        <f t="shared" si="16"/>
        <v>0</v>
      </c>
      <c r="T302" s="18">
        <v>703812.99</v>
      </c>
      <c r="U302" s="18">
        <v>40647.67</v>
      </c>
      <c r="V302" s="19">
        <v>8252</v>
      </c>
      <c r="W302" s="19">
        <v>0.14099999999999999</v>
      </c>
      <c r="X302" s="19">
        <v>1</v>
      </c>
      <c r="Y302" s="19">
        <v>0</v>
      </c>
      <c r="Z302" s="19">
        <v>0</v>
      </c>
    </row>
    <row r="303" spans="1:26">
      <c r="A303" s="2">
        <v>45689</v>
      </c>
      <c r="B303" t="s">
        <v>20</v>
      </c>
      <c r="C303" t="s">
        <v>28</v>
      </c>
      <c r="D303" s="5">
        <v>63986.98</v>
      </c>
      <c r="E303">
        <v>7989</v>
      </c>
      <c r="F303">
        <v>7.3999999999999996E-2</v>
      </c>
      <c r="G303">
        <v>20</v>
      </c>
      <c r="H303">
        <v>83.3</v>
      </c>
      <c r="I303">
        <v>3.6</v>
      </c>
      <c r="J303">
        <v>0</v>
      </c>
      <c r="K303">
        <v>3.7</v>
      </c>
      <c r="L303" s="5">
        <v>724346.73</v>
      </c>
      <c r="M303">
        <v>155013.91</v>
      </c>
      <c r="N303">
        <f t="shared" si="14"/>
        <v>1</v>
      </c>
      <c r="O303">
        <f t="shared" si="15"/>
        <v>0</v>
      </c>
      <c r="P303">
        <f t="shared" si="16"/>
        <v>0</v>
      </c>
      <c r="T303" s="18">
        <v>724346.73</v>
      </c>
      <c r="U303" s="18">
        <v>63986.98</v>
      </c>
      <c r="V303" s="19">
        <v>7989</v>
      </c>
      <c r="W303" s="19">
        <v>7.3999999999999996E-2</v>
      </c>
      <c r="X303" s="19">
        <v>1</v>
      </c>
      <c r="Y303" s="19">
        <v>0</v>
      </c>
      <c r="Z303" s="19">
        <v>0</v>
      </c>
    </row>
    <row r="304" spans="1:26">
      <c r="A304" s="2">
        <v>45717</v>
      </c>
      <c r="B304" t="s">
        <v>20</v>
      </c>
      <c r="C304" t="s">
        <v>28</v>
      </c>
      <c r="D304" s="5">
        <v>52843.75</v>
      </c>
      <c r="E304">
        <v>8268</v>
      </c>
      <c r="F304">
        <v>0.13800000000000001</v>
      </c>
      <c r="G304">
        <v>19</v>
      </c>
      <c r="H304">
        <v>87.3</v>
      </c>
      <c r="I304">
        <v>4.3899999999999997</v>
      </c>
      <c r="J304">
        <v>1</v>
      </c>
      <c r="K304">
        <v>4.7</v>
      </c>
      <c r="L304" s="5">
        <v>730890.01</v>
      </c>
      <c r="M304">
        <v>105502.56</v>
      </c>
      <c r="N304">
        <f t="shared" si="14"/>
        <v>1</v>
      </c>
      <c r="O304">
        <f t="shared" si="15"/>
        <v>0</v>
      </c>
      <c r="P304">
        <f t="shared" si="16"/>
        <v>0</v>
      </c>
      <c r="T304" s="18">
        <v>730890.01</v>
      </c>
      <c r="U304" s="18">
        <v>52843.75</v>
      </c>
      <c r="V304" s="19">
        <v>8268</v>
      </c>
      <c r="W304" s="19">
        <v>0.13800000000000001</v>
      </c>
      <c r="X304" s="19">
        <v>1</v>
      </c>
      <c r="Y304" s="19">
        <v>0</v>
      </c>
      <c r="Z304" s="19">
        <v>0</v>
      </c>
    </row>
    <row r="305" spans="1:26">
      <c r="A305" s="2">
        <v>45748</v>
      </c>
      <c r="B305" t="s">
        <v>20</v>
      </c>
      <c r="C305" t="s">
        <v>28</v>
      </c>
      <c r="D305" s="5">
        <v>31997.25</v>
      </c>
      <c r="E305">
        <v>8183</v>
      </c>
      <c r="F305">
        <v>0.19800000000000001</v>
      </c>
      <c r="G305">
        <v>18</v>
      </c>
      <c r="H305">
        <v>93</v>
      </c>
      <c r="I305">
        <v>2.79</v>
      </c>
      <c r="J305">
        <v>0</v>
      </c>
      <c r="K305">
        <v>4.2</v>
      </c>
      <c r="L305" s="5">
        <v>780580.95</v>
      </c>
      <c r="M305">
        <v>138144.46</v>
      </c>
      <c r="N305">
        <f t="shared" si="14"/>
        <v>1</v>
      </c>
      <c r="O305">
        <f t="shared" si="15"/>
        <v>0</v>
      </c>
      <c r="P305">
        <f t="shared" si="16"/>
        <v>0</v>
      </c>
      <c r="T305" s="18">
        <v>780580.95</v>
      </c>
      <c r="U305" s="18">
        <v>31997.25</v>
      </c>
      <c r="V305" s="19">
        <v>8183</v>
      </c>
      <c r="W305" s="19">
        <v>0.19800000000000001</v>
      </c>
      <c r="X305" s="19">
        <v>1</v>
      </c>
      <c r="Y305" s="19">
        <v>0</v>
      </c>
      <c r="Z305" s="19">
        <v>0</v>
      </c>
    </row>
    <row r="306" spans="1:26">
      <c r="A306" s="2">
        <v>45658</v>
      </c>
      <c r="B306" t="s">
        <v>24</v>
      </c>
      <c r="C306" t="s">
        <v>16</v>
      </c>
      <c r="D306" s="5">
        <v>54948.02</v>
      </c>
      <c r="E306">
        <v>6534</v>
      </c>
      <c r="F306">
        <v>0.183</v>
      </c>
      <c r="G306">
        <v>14</v>
      </c>
      <c r="H306">
        <v>94.5</v>
      </c>
      <c r="I306">
        <v>1.56</v>
      </c>
      <c r="J306">
        <v>0</v>
      </c>
      <c r="K306">
        <v>4</v>
      </c>
      <c r="L306" s="5">
        <v>727957.48</v>
      </c>
      <c r="M306">
        <v>74805.23</v>
      </c>
      <c r="N306">
        <f t="shared" si="14"/>
        <v>0</v>
      </c>
      <c r="O306">
        <f t="shared" si="15"/>
        <v>0</v>
      </c>
      <c r="P306">
        <f t="shared" si="16"/>
        <v>0</v>
      </c>
      <c r="T306" s="18">
        <v>727957.48</v>
      </c>
      <c r="U306" s="18">
        <v>54948.02</v>
      </c>
      <c r="V306" s="19">
        <v>6534</v>
      </c>
      <c r="W306" s="19">
        <v>0.183</v>
      </c>
      <c r="X306" s="19">
        <v>0</v>
      </c>
      <c r="Y306" s="19">
        <v>0</v>
      </c>
      <c r="Z306" s="19">
        <v>0</v>
      </c>
    </row>
    <row r="307" spans="1:26">
      <c r="A307" s="2">
        <v>45689</v>
      </c>
      <c r="B307" t="s">
        <v>24</v>
      </c>
      <c r="C307" t="s">
        <v>16</v>
      </c>
      <c r="D307" s="5">
        <v>46146.239999999998</v>
      </c>
      <c r="E307">
        <v>5804</v>
      </c>
      <c r="F307">
        <v>4.7E-2</v>
      </c>
      <c r="G307">
        <v>16</v>
      </c>
      <c r="H307">
        <v>86.9</v>
      </c>
      <c r="I307">
        <v>15.82</v>
      </c>
      <c r="J307">
        <v>0</v>
      </c>
      <c r="K307">
        <v>3.8</v>
      </c>
      <c r="L307" s="5">
        <v>538376</v>
      </c>
      <c r="M307">
        <v>87605.62</v>
      </c>
      <c r="N307">
        <f t="shared" si="14"/>
        <v>0</v>
      </c>
      <c r="O307">
        <f t="shared" si="15"/>
        <v>0</v>
      </c>
      <c r="P307">
        <f t="shared" si="16"/>
        <v>0</v>
      </c>
      <c r="T307" s="18">
        <v>538376</v>
      </c>
      <c r="U307" s="18">
        <v>46146.239999999998</v>
      </c>
      <c r="V307" s="19">
        <v>5804</v>
      </c>
      <c r="W307" s="19">
        <v>4.7E-2</v>
      </c>
      <c r="X307" s="19">
        <v>0</v>
      </c>
      <c r="Y307" s="19">
        <v>0</v>
      </c>
      <c r="Z307" s="19">
        <v>0</v>
      </c>
    </row>
    <row r="308" spans="1:26">
      <c r="A308" s="2">
        <v>45717</v>
      </c>
      <c r="B308" t="s">
        <v>24</v>
      </c>
      <c r="C308" t="s">
        <v>16</v>
      </c>
      <c r="D308" s="5">
        <v>22387.26</v>
      </c>
      <c r="E308">
        <v>6301</v>
      </c>
      <c r="F308">
        <v>0.14599999999999999</v>
      </c>
      <c r="G308">
        <v>14</v>
      </c>
      <c r="H308">
        <v>85.9</v>
      </c>
      <c r="I308">
        <v>1.17</v>
      </c>
      <c r="J308">
        <v>1</v>
      </c>
      <c r="K308">
        <v>3.7</v>
      </c>
      <c r="L308" s="5">
        <v>665342.49</v>
      </c>
      <c r="M308">
        <v>93441.81</v>
      </c>
      <c r="N308">
        <f t="shared" si="14"/>
        <v>0</v>
      </c>
      <c r="O308">
        <f t="shared" si="15"/>
        <v>0</v>
      </c>
      <c r="P308">
        <f t="shared" si="16"/>
        <v>0</v>
      </c>
      <c r="T308" s="18">
        <v>665342.49</v>
      </c>
      <c r="U308" s="18">
        <v>22387.26</v>
      </c>
      <c r="V308" s="19">
        <v>6301</v>
      </c>
      <c r="W308" s="19">
        <v>0.14599999999999999</v>
      </c>
      <c r="X308" s="19">
        <v>0</v>
      </c>
      <c r="Y308" s="19">
        <v>0</v>
      </c>
      <c r="Z308" s="19">
        <v>0</v>
      </c>
    </row>
    <row r="309" spans="1:26">
      <c r="A309" s="2">
        <v>45748</v>
      </c>
      <c r="B309" t="s">
        <v>24</v>
      </c>
      <c r="C309" t="s">
        <v>16</v>
      </c>
      <c r="D309" s="5">
        <v>60684.05</v>
      </c>
      <c r="E309">
        <v>6399</v>
      </c>
      <c r="F309">
        <v>7.4999999999999997E-2</v>
      </c>
      <c r="G309">
        <v>16</v>
      </c>
      <c r="H309">
        <v>99</v>
      </c>
      <c r="I309">
        <v>3.82</v>
      </c>
      <c r="J309">
        <v>0</v>
      </c>
      <c r="K309">
        <v>3.5</v>
      </c>
      <c r="L309" s="5">
        <v>651164.18000000005</v>
      </c>
      <c r="M309">
        <v>109466.5</v>
      </c>
      <c r="N309">
        <f t="shared" si="14"/>
        <v>0</v>
      </c>
      <c r="O309">
        <f t="shared" si="15"/>
        <v>0</v>
      </c>
      <c r="P309">
        <f t="shared" si="16"/>
        <v>0</v>
      </c>
      <c r="T309" s="18">
        <v>651164.18000000005</v>
      </c>
      <c r="U309" s="18">
        <v>60684.05</v>
      </c>
      <c r="V309" s="19">
        <v>6399</v>
      </c>
      <c r="W309" s="19">
        <v>7.4999999999999997E-2</v>
      </c>
      <c r="X309" s="19">
        <v>0</v>
      </c>
      <c r="Y309" s="19">
        <v>0</v>
      </c>
      <c r="Z309" s="19">
        <v>0</v>
      </c>
    </row>
    <row r="310" spans="1:26">
      <c r="A310" s="2">
        <v>45658</v>
      </c>
      <c r="B310" t="s">
        <v>24</v>
      </c>
      <c r="C310" t="s">
        <v>18</v>
      </c>
      <c r="D310" s="5">
        <v>48465.599999999999</v>
      </c>
      <c r="E310">
        <v>5759</v>
      </c>
      <c r="F310">
        <v>0.154</v>
      </c>
      <c r="G310">
        <v>13</v>
      </c>
      <c r="H310">
        <v>87.5</v>
      </c>
      <c r="I310">
        <v>4.1399999999999997</v>
      </c>
      <c r="J310">
        <v>0</v>
      </c>
      <c r="K310">
        <v>4</v>
      </c>
      <c r="L310" s="5">
        <v>628538.30000000005</v>
      </c>
      <c r="M310">
        <v>112509.15</v>
      </c>
      <c r="N310">
        <f t="shared" si="14"/>
        <v>0</v>
      </c>
      <c r="O310">
        <f t="shared" si="15"/>
        <v>1</v>
      </c>
      <c r="P310">
        <f t="shared" si="16"/>
        <v>0</v>
      </c>
      <c r="T310" s="18">
        <v>628538.30000000005</v>
      </c>
      <c r="U310" s="18">
        <v>48465.599999999999</v>
      </c>
      <c r="V310" s="19">
        <v>5759</v>
      </c>
      <c r="W310" s="19">
        <v>0.154</v>
      </c>
      <c r="X310" s="19">
        <v>0</v>
      </c>
      <c r="Y310" s="19">
        <v>1</v>
      </c>
      <c r="Z310" s="19">
        <v>0</v>
      </c>
    </row>
    <row r="311" spans="1:26">
      <c r="A311" s="2">
        <v>45689</v>
      </c>
      <c r="B311" t="s">
        <v>24</v>
      </c>
      <c r="C311" t="s">
        <v>18</v>
      </c>
      <c r="D311" s="5">
        <v>23702.38</v>
      </c>
      <c r="E311">
        <v>5285</v>
      </c>
      <c r="F311">
        <v>0.16700000000000001</v>
      </c>
      <c r="G311">
        <v>14</v>
      </c>
      <c r="H311">
        <v>79.7</v>
      </c>
      <c r="I311">
        <v>1.1000000000000001</v>
      </c>
      <c r="J311">
        <v>0</v>
      </c>
      <c r="K311">
        <v>4.3</v>
      </c>
      <c r="L311" s="5">
        <v>536524.84</v>
      </c>
      <c r="M311">
        <v>92752.94</v>
      </c>
      <c r="N311">
        <f t="shared" si="14"/>
        <v>0</v>
      </c>
      <c r="O311">
        <f t="shared" si="15"/>
        <v>1</v>
      </c>
      <c r="P311">
        <f t="shared" si="16"/>
        <v>0</v>
      </c>
      <c r="T311" s="18">
        <v>536524.84</v>
      </c>
      <c r="U311" s="18">
        <v>23702.38</v>
      </c>
      <c r="V311" s="19">
        <v>5285</v>
      </c>
      <c r="W311" s="19">
        <v>0.16700000000000001</v>
      </c>
      <c r="X311" s="19">
        <v>0</v>
      </c>
      <c r="Y311" s="19">
        <v>1</v>
      </c>
      <c r="Z311" s="19">
        <v>0</v>
      </c>
    </row>
    <row r="312" spans="1:26">
      <c r="A312" s="2">
        <v>45717</v>
      </c>
      <c r="B312" t="s">
        <v>24</v>
      </c>
      <c r="C312" t="s">
        <v>18</v>
      </c>
      <c r="D312" s="5">
        <v>54322.94</v>
      </c>
      <c r="E312">
        <v>5434</v>
      </c>
      <c r="F312">
        <v>0.2</v>
      </c>
      <c r="G312">
        <v>13</v>
      </c>
      <c r="H312">
        <v>85.7</v>
      </c>
      <c r="I312">
        <v>10.6</v>
      </c>
      <c r="J312">
        <v>0</v>
      </c>
      <c r="K312">
        <v>4.2</v>
      </c>
      <c r="L312" s="5">
        <v>621677.30000000005</v>
      </c>
      <c r="M312">
        <v>105192.52</v>
      </c>
      <c r="N312">
        <f t="shared" si="14"/>
        <v>0</v>
      </c>
      <c r="O312">
        <f t="shared" si="15"/>
        <v>1</v>
      </c>
      <c r="P312">
        <f t="shared" si="16"/>
        <v>0</v>
      </c>
      <c r="T312" s="18">
        <v>621677.30000000005</v>
      </c>
      <c r="U312" s="18">
        <v>54322.94</v>
      </c>
      <c r="V312" s="19">
        <v>5434</v>
      </c>
      <c r="W312" s="19">
        <v>0.2</v>
      </c>
      <c r="X312" s="19">
        <v>0</v>
      </c>
      <c r="Y312" s="19">
        <v>1</v>
      </c>
      <c r="Z312" s="19">
        <v>0</v>
      </c>
    </row>
    <row r="313" spans="1:26">
      <c r="A313" s="2">
        <v>45748</v>
      </c>
      <c r="B313" t="s">
        <v>24</v>
      </c>
      <c r="C313" t="s">
        <v>18</v>
      </c>
      <c r="D313" s="5">
        <v>86026.58</v>
      </c>
      <c r="E313">
        <v>7479</v>
      </c>
      <c r="F313">
        <v>0.14199999999999999</v>
      </c>
      <c r="G313">
        <v>20</v>
      </c>
      <c r="H313">
        <v>89</v>
      </c>
      <c r="I313">
        <v>0.9</v>
      </c>
      <c r="J313">
        <v>0</v>
      </c>
      <c r="L313" s="5">
        <v>771129.07</v>
      </c>
      <c r="M313">
        <v>116851.13</v>
      </c>
      <c r="N313">
        <f t="shared" si="14"/>
        <v>0</v>
      </c>
      <c r="O313">
        <f t="shared" si="15"/>
        <v>1</v>
      </c>
      <c r="P313">
        <f t="shared" si="16"/>
        <v>0</v>
      </c>
      <c r="T313" s="18">
        <v>771129.07</v>
      </c>
      <c r="U313" s="18">
        <v>86026.58</v>
      </c>
      <c r="V313" s="19">
        <v>7479</v>
      </c>
      <c r="W313" s="19">
        <v>0.14199999999999999</v>
      </c>
      <c r="X313" s="19">
        <v>0</v>
      </c>
      <c r="Y313" s="19">
        <v>1</v>
      </c>
      <c r="Z313" s="19">
        <v>0</v>
      </c>
    </row>
    <row r="314" spans="1:26">
      <c r="A314" s="2">
        <v>45658</v>
      </c>
      <c r="B314" t="s">
        <v>20</v>
      </c>
      <c r="C314" t="s">
        <v>16</v>
      </c>
      <c r="D314" s="5">
        <v>78967.520000000004</v>
      </c>
      <c r="E314">
        <v>6164</v>
      </c>
      <c r="F314">
        <v>2.1000000000000001E-2</v>
      </c>
      <c r="G314">
        <v>16</v>
      </c>
      <c r="H314">
        <v>85.5</v>
      </c>
      <c r="I314">
        <v>0.2</v>
      </c>
      <c r="J314">
        <v>0</v>
      </c>
      <c r="K314">
        <v>3.4</v>
      </c>
      <c r="L314" s="5">
        <v>702052.47</v>
      </c>
      <c r="M314">
        <v>121732.51</v>
      </c>
      <c r="N314">
        <f t="shared" si="14"/>
        <v>0</v>
      </c>
      <c r="O314">
        <f t="shared" si="15"/>
        <v>0</v>
      </c>
      <c r="P314">
        <f t="shared" si="16"/>
        <v>0</v>
      </c>
      <c r="T314" s="18">
        <v>702052.47</v>
      </c>
      <c r="U314" s="18">
        <v>78967.520000000004</v>
      </c>
      <c r="V314" s="19">
        <v>6164</v>
      </c>
      <c r="W314" s="19">
        <v>2.1000000000000001E-2</v>
      </c>
      <c r="X314" s="19">
        <v>0</v>
      </c>
      <c r="Y314" s="19">
        <v>0</v>
      </c>
      <c r="Z314" s="19">
        <v>0</v>
      </c>
    </row>
    <row r="315" spans="1:26">
      <c r="A315" s="2">
        <v>45689</v>
      </c>
      <c r="B315" t="s">
        <v>20</v>
      </c>
      <c r="C315" t="s">
        <v>16</v>
      </c>
      <c r="D315" s="5">
        <v>46767.99</v>
      </c>
      <c r="E315">
        <v>7973</v>
      </c>
      <c r="F315">
        <v>0.183</v>
      </c>
      <c r="G315">
        <v>18</v>
      </c>
      <c r="H315">
        <v>94.8</v>
      </c>
      <c r="I315">
        <v>4.67</v>
      </c>
      <c r="J315">
        <v>0</v>
      </c>
      <c r="L315" s="5">
        <v>688368.46</v>
      </c>
      <c r="M315">
        <v>93588.42</v>
      </c>
      <c r="N315">
        <f t="shared" si="14"/>
        <v>0</v>
      </c>
      <c r="O315">
        <f t="shared" si="15"/>
        <v>0</v>
      </c>
      <c r="P315">
        <f t="shared" si="16"/>
        <v>0</v>
      </c>
      <c r="T315" s="18">
        <v>688368.46</v>
      </c>
      <c r="U315" s="18">
        <v>46767.99</v>
      </c>
      <c r="V315" s="19">
        <v>7973</v>
      </c>
      <c r="W315" s="19">
        <v>0.183</v>
      </c>
      <c r="X315" s="19">
        <v>0</v>
      </c>
      <c r="Y315" s="19">
        <v>0</v>
      </c>
      <c r="Z315" s="19">
        <v>0</v>
      </c>
    </row>
    <row r="316" spans="1:26">
      <c r="A316" s="2">
        <v>45717</v>
      </c>
      <c r="B316" t="s">
        <v>20</v>
      </c>
      <c r="C316" t="s">
        <v>16</v>
      </c>
      <c r="D316" s="5">
        <v>62507.16</v>
      </c>
      <c r="E316">
        <v>6000</v>
      </c>
      <c r="F316">
        <v>9.0999999999999998E-2</v>
      </c>
      <c r="G316">
        <v>14</v>
      </c>
      <c r="H316">
        <v>98.2</v>
      </c>
      <c r="I316">
        <v>4.38</v>
      </c>
      <c r="J316">
        <v>1</v>
      </c>
      <c r="K316">
        <v>3.9</v>
      </c>
      <c r="L316" s="5">
        <v>712375.77</v>
      </c>
      <c r="M316">
        <v>104171.53</v>
      </c>
      <c r="N316">
        <f t="shared" si="14"/>
        <v>0</v>
      </c>
      <c r="O316">
        <f t="shared" si="15"/>
        <v>0</v>
      </c>
      <c r="P316">
        <f t="shared" si="16"/>
        <v>0</v>
      </c>
      <c r="T316" s="18">
        <v>712375.77</v>
      </c>
      <c r="U316" s="18">
        <v>62507.16</v>
      </c>
      <c r="V316" s="19">
        <v>6000</v>
      </c>
      <c r="W316" s="19">
        <v>9.0999999999999998E-2</v>
      </c>
      <c r="X316" s="19">
        <v>0</v>
      </c>
      <c r="Y316" s="19">
        <v>0</v>
      </c>
      <c r="Z316" s="19">
        <v>0</v>
      </c>
    </row>
    <row r="317" spans="1:26">
      <c r="A317" s="2">
        <v>45748</v>
      </c>
      <c r="B317" t="s">
        <v>20</v>
      </c>
      <c r="C317" t="s">
        <v>16</v>
      </c>
      <c r="D317" s="5">
        <v>66456.28</v>
      </c>
      <c r="E317">
        <v>9967</v>
      </c>
      <c r="F317">
        <v>0.108</v>
      </c>
      <c r="G317">
        <v>20</v>
      </c>
      <c r="H317">
        <v>94.7</v>
      </c>
      <c r="I317">
        <v>4.4800000000000004</v>
      </c>
      <c r="J317">
        <v>0</v>
      </c>
      <c r="K317">
        <v>4.2</v>
      </c>
      <c r="L317" s="5">
        <v>844710.67</v>
      </c>
      <c r="M317">
        <v>137140.18</v>
      </c>
      <c r="N317">
        <f t="shared" si="14"/>
        <v>0</v>
      </c>
      <c r="O317">
        <f t="shared" si="15"/>
        <v>0</v>
      </c>
      <c r="P317">
        <f t="shared" si="16"/>
        <v>0</v>
      </c>
      <c r="T317" s="18">
        <v>844710.67</v>
      </c>
      <c r="U317" s="18">
        <v>66456.28</v>
      </c>
      <c r="V317" s="19">
        <v>9967</v>
      </c>
      <c r="W317" s="19">
        <v>0.108</v>
      </c>
      <c r="X317" s="19">
        <v>0</v>
      </c>
      <c r="Y317" s="19">
        <v>0</v>
      </c>
      <c r="Z317" s="19">
        <v>0</v>
      </c>
    </row>
    <row r="318" spans="1:26">
      <c r="A318" s="2">
        <v>45658</v>
      </c>
      <c r="B318" t="s">
        <v>15</v>
      </c>
      <c r="C318" t="s">
        <v>16</v>
      </c>
      <c r="D318" s="5">
        <v>76614.320000000007</v>
      </c>
      <c r="E318">
        <v>5639</v>
      </c>
      <c r="F318">
        <v>0.17399999999999999</v>
      </c>
      <c r="G318">
        <v>15</v>
      </c>
      <c r="H318">
        <v>92.9</v>
      </c>
      <c r="I318">
        <v>1.02</v>
      </c>
      <c r="J318">
        <v>1</v>
      </c>
      <c r="K318">
        <v>4</v>
      </c>
      <c r="L318" s="5">
        <v>620264.19999999995</v>
      </c>
      <c r="M318">
        <v>91365.64</v>
      </c>
      <c r="N318">
        <f t="shared" si="14"/>
        <v>0</v>
      </c>
      <c r="O318">
        <f t="shared" si="15"/>
        <v>0</v>
      </c>
      <c r="P318">
        <f t="shared" si="16"/>
        <v>0</v>
      </c>
      <c r="T318" s="18">
        <v>620264.19999999995</v>
      </c>
      <c r="U318" s="18">
        <v>76614.320000000007</v>
      </c>
      <c r="V318" s="19">
        <v>5639</v>
      </c>
      <c r="W318" s="19">
        <v>0.17399999999999999</v>
      </c>
      <c r="X318" s="19">
        <v>0</v>
      </c>
      <c r="Y318" s="19">
        <v>0</v>
      </c>
      <c r="Z318" s="19">
        <v>0</v>
      </c>
    </row>
    <row r="319" spans="1:26">
      <c r="A319" s="2">
        <v>45689</v>
      </c>
      <c r="B319" t="s">
        <v>15</v>
      </c>
      <c r="C319" t="s">
        <v>16</v>
      </c>
      <c r="D319" s="5">
        <v>24088.06</v>
      </c>
      <c r="E319">
        <v>3466</v>
      </c>
      <c r="F319">
        <v>0</v>
      </c>
      <c r="G319">
        <v>11</v>
      </c>
      <c r="H319">
        <v>88</v>
      </c>
      <c r="I319">
        <v>0.2</v>
      </c>
      <c r="J319">
        <v>0</v>
      </c>
      <c r="K319">
        <v>3.8</v>
      </c>
      <c r="L319" s="5">
        <v>536845.42000000004</v>
      </c>
      <c r="M319">
        <v>107473.75</v>
      </c>
      <c r="N319">
        <f t="shared" si="14"/>
        <v>0</v>
      </c>
      <c r="O319">
        <f t="shared" si="15"/>
        <v>0</v>
      </c>
      <c r="P319">
        <f t="shared" si="16"/>
        <v>0</v>
      </c>
      <c r="T319" s="18">
        <v>536845.42000000004</v>
      </c>
      <c r="U319" s="18">
        <v>24088.06</v>
      </c>
      <c r="V319" s="19">
        <v>3466</v>
      </c>
      <c r="W319" s="19">
        <v>0</v>
      </c>
      <c r="X319" s="19">
        <v>0</v>
      </c>
      <c r="Y319" s="19">
        <v>0</v>
      </c>
      <c r="Z319" s="19">
        <v>0</v>
      </c>
    </row>
    <row r="320" spans="1:26">
      <c r="A320" s="2">
        <v>45717</v>
      </c>
      <c r="B320" t="s">
        <v>15</v>
      </c>
      <c r="C320" t="s">
        <v>16</v>
      </c>
      <c r="D320" s="5">
        <v>81902.58</v>
      </c>
      <c r="E320">
        <v>7775</v>
      </c>
      <c r="F320">
        <v>0.215</v>
      </c>
      <c r="G320">
        <v>20</v>
      </c>
      <c r="H320">
        <v>85.2</v>
      </c>
      <c r="I320">
        <v>4.8899999999999997</v>
      </c>
      <c r="J320">
        <v>1</v>
      </c>
      <c r="K320">
        <v>4.2</v>
      </c>
      <c r="L320" s="5">
        <v>726776.22</v>
      </c>
      <c r="M320">
        <v>90804.49</v>
      </c>
      <c r="N320">
        <f t="shared" si="14"/>
        <v>0</v>
      </c>
      <c r="O320">
        <f t="shared" si="15"/>
        <v>0</v>
      </c>
      <c r="P320">
        <f t="shared" si="16"/>
        <v>0</v>
      </c>
      <c r="T320" s="18">
        <v>726776.22</v>
      </c>
      <c r="U320" s="18">
        <v>81902.58</v>
      </c>
      <c r="V320" s="19">
        <v>7775</v>
      </c>
      <c r="W320" s="19">
        <v>0.215</v>
      </c>
      <c r="X320" s="19">
        <v>0</v>
      </c>
      <c r="Y320" s="19">
        <v>0</v>
      </c>
      <c r="Z320" s="19">
        <v>0</v>
      </c>
    </row>
    <row r="321" spans="1:26">
      <c r="A321" s="2">
        <v>45748</v>
      </c>
      <c r="B321" t="s">
        <v>15</v>
      </c>
      <c r="C321" t="s">
        <v>16</v>
      </c>
      <c r="D321" s="5">
        <v>40553.11</v>
      </c>
      <c r="E321">
        <v>5317</v>
      </c>
      <c r="F321">
        <v>0.16500000000000001</v>
      </c>
      <c r="G321">
        <v>17</v>
      </c>
      <c r="H321">
        <v>84.3</v>
      </c>
      <c r="I321">
        <v>11.82</v>
      </c>
      <c r="J321">
        <v>0</v>
      </c>
      <c r="K321">
        <v>4.0999999999999996</v>
      </c>
      <c r="L321" s="5">
        <v>559660.84</v>
      </c>
      <c r="M321">
        <v>71443.61</v>
      </c>
      <c r="N321">
        <f t="shared" si="14"/>
        <v>0</v>
      </c>
      <c r="O321">
        <f t="shared" si="15"/>
        <v>0</v>
      </c>
      <c r="P321">
        <f t="shared" si="16"/>
        <v>0</v>
      </c>
      <c r="T321" s="18">
        <v>559660.84</v>
      </c>
      <c r="U321" s="18">
        <v>40553.11</v>
      </c>
      <c r="V321" s="19">
        <v>5317</v>
      </c>
      <c r="W321" s="19">
        <v>0.16500000000000001</v>
      </c>
      <c r="X321" s="19">
        <v>0</v>
      </c>
      <c r="Y321" s="19">
        <v>0</v>
      </c>
      <c r="Z321" s="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4088A-31AA-4BAA-92C7-A3F4EAAE1538}">
  <dimension ref="A1:S19"/>
  <sheetViews>
    <sheetView workbookViewId="0"/>
  </sheetViews>
  <sheetFormatPr defaultRowHeight="13.8"/>
  <cols>
    <col min="1" max="1" width="18.09765625" customWidth="1"/>
    <col min="2" max="2" width="19.19921875" customWidth="1"/>
    <col min="3" max="3" width="15.3984375" customWidth="1"/>
    <col min="4" max="4" width="12.09765625" customWidth="1"/>
    <col min="5" max="5" width="14" customWidth="1"/>
    <col min="6" max="6" width="12.69921875" customWidth="1"/>
    <col min="7" max="7" width="13" customWidth="1"/>
    <col min="8" max="8" width="14.19921875" customWidth="1"/>
    <col min="9" max="9" width="14.796875" customWidth="1"/>
    <col min="10" max="10" width="1.3984375" style="13" customWidth="1"/>
    <col min="11" max="11" width="16.5" customWidth="1"/>
    <col min="12" max="12" width="12.8984375" customWidth="1"/>
    <col min="13" max="13" width="15" customWidth="1"/>
    <col min="14" max="14" width="14.3984375" customWidth="1"/>
    <col min="15" max="15" width="12.69921875" customWidth="1"/>
    <col min="16" max="16" width="14.09765625" customWidth="1"/>
    <col min="17" max="17" width="13.296875" customWidth="1"/>
    <col min="18" max="18" width="13.19921875" customWidth="1"/>
    <col min="19" max="19" width="14" customWidth="1"/>
  </cols>
  <sheetData>
    <row r="1" spans="1:16">
      <c r="A1" s="12" t="s">
        <v>147</v>
      </c>
      <c r="B1" s="12"/>
      <c r="K1" s="12" t="s">
        <v>148</v>
      </c>
      <c r="L1" s="12"/>
      <c r="M1" s="12"/>
      <c r="N1" s="12"/>
    </row>
    <row r="2" spans="1:16">
      <c r="A2" t="s">
        <v>146</v>
      </c>
      <c r="K2" t="s">
        <v>121</v>
      </c>
    </row>
    <row r="3" spans="1:16" ht="14.4" thickBot="1"/>
    <row r="4" spans="1:16" ht="14.4">
      <c r="A4" s="11" t="s">
        <v>122</v>
      </c>
      <c r="B4" s="11"/>
      <c r="K4" s="11" t="s">
        <v>122</v>
      </c>
      <c r="L4" s="11"/>
    </row>
    <row r="5" spans="1:16">
      <c r="A5" s="8" t="s">
        <v>123</v>
      </c>
      <c r="B5" s="8">
        <v>0.40895561021322352</v>
      </c>
      <c r="K5" s="8" t="s">
        <v>123</v>
      </c>
      <c r="L5" s="8">
        <v>0.85807070804410468</v>
      </c>
    </row>
    <row r="6" spans="1:16">
      <c r="A6" s="8" t="s">
        <v>124</v>
      </c>
      <c r="B6" s="8">
        <v>0.16724469112487</v>
      </c>
      <c r="K6" s="8" t="s">
        <v>124</v>
      </c>
      <c r="L6" s="8">
        <v>0.73628534000331114</v>
      </c>
    </row>
    <row r="7" spans="1:16">
      <c r="A7" s="8" t="s">
        <v>125</v>
      </c>
      <c r="B7" s="8">
        <v>0.16462596373847024</v>
      </c>
      <c r="K7" s="8" t="s">
        <v>125</v>
      </c>
      <c r="L7" s="8">
        <v>0.73545604861967373</v>
      </c>
    </row>
    <row r="8" spans="1:16">
      <c r="A8" s="8" t="s">
        <v>126</v>
      </c>
      <c r="B8" s="8">
        <v>94846.03383215853</v>
      </c>
      <c r="K8" s="8" t="s">
        <v>126</v>
      </c>
      <c r="L8" s="8">
        <v>53373.736380790499</v>
      </c>
    </row>
    <row r="9" spans="1:16" ht="14.4" thickBot="1">
      <c r="A9" s="9" t="s">
        <v>127</v>
      </c>
      <c r="B9" s="9">
        <v>320</v>
      </c>
      <c r="K9" s="9" t="s">
        <v>127</v>
      </c>
      <c r="L9" s="9">
        <v>320</v>
      </c>
    </row>
    <row r="11" spans="1:16" ht="14.4" thickBot="1">
      <c r="A11" t="s">
        <v>128</v>
      </c>
      <c r="K11" t="s">
        <v>128</v>
      </c>
    </row>
    <row r="12" spans="1:16" ht="14.4">
      <c r="A12" s="10"/>
      <c r="B12" s="10" t="s">
        <v>133</v>
      </c>
      <c r="C12" s="10" t="s">
        <v>134</v>
      </c>
      <c r="D12" s="10" t="s">
        <v>135</v>
      </c>
      <c r="E12" s="10" t="s">
        <v>136</v>
      </c>
      <c r="F12" s="10" t="s">
        <v>137</v>
      </c>
      <c r="K12" s="10"/>
      <c r="L12" s="10" t="s">
        <v>133</v>
      </c>
      <c r="M12" s="10" t="s">
        <v>134</v>
      </c>
      <c r="N12" s="10" t="s">
        <v>135</v>
      </c>
      <c r="O12" s="10" t="s">
        <v>136</v>
      </c>
      <c r="P12" s="10" t="s">
        <v>137</v>
      </c>
    </row>
    <row r="13" spans="1:16">
      <c r="A13" s="8" t="s">
        <v>129</v>
      </c>
      <c r="B13" s="8">
        <v>1</v>
      </c>
      <c r="C13" s="8">
        <v>574513714277.01416</v>
      </c>
      <c r="D13" s="8">
        <v>574513714277.01416</v>
      </c>
      <c r="E13" s="8">
        <v>63.864872683367629</v>
      </c>
      <c r="F13" s="8">
        <v>2.4800615101359619E-14</v>
      </c>
      <c r="K13" s="8" t="s">
        <v>129</v>
      </c>
      <c r="L13" s="8">
        <v>1</v>
      </c>
      <c r="M13" s="8">
        <v>2529264292982.4736</v>
      </c>
      <c r="N13" s="8">
        <v>2529264292982.4736</v>
      </c>
      <c r="O13" s="8">
        <v>887.84877611276033</v>
      </c>
      <c r="P13" s="8">
        <v>4.7503615090053331E-94</v>
      </c>
    </row>
    <row r="14" spans="1:16">
      <c r="A14" s="8" t="s">
        <v>130</v>
      </c>
      <c r="B14" s="8">
        <v>318</v>
      </c>
      <c r="C14" s="8">
        <v>2860654902513.7251</v>
      </c>
      <c r="D14" s="8">
        <v>8995770133.6909599</v>
      </c>
      <c r="E14" s="8"/>
      <c r="F14" s="8"/>
      <c r="K14" s="8" t="s">
        <v>130</v>
      </c>
      <c r="L14" s="8">
        <v>318</v>
      </c>
      <c r="M14" s="8">
        <v>905904323808.26587</v>
      </c>
      <c r="N14" s="8">
        <v>2848755735.246119</v>
      </c>
      <c r="O14" s="8"/>
      <c r="P14" s="8"/>
    </row>
    <row r="15" spans="1:16" ht="14.4" thickBot="1">
      <c r="A15" s="9" t="s">
        <v>131</v>
      </c>
      <c r="B15" s="9">
        <v>319</v>
      </c>
      <c r="C15" s="9">
        <v>3435168616790.7393</v>
      </c>
      <c r="D15" s="9"/>
      <c r="E15" s="9"/>
      <c r="F15" s="9"/>
      <c r="K15" s="9" t="s">
        <v>131</v>
      </c>
      <c r="L15" s="9">
        <v>319</v>
      </c>
      <c r="M15" s="9">
        <v>3435168616790.7393</v>
      </c>
      <c r="N15" s="9"/>
      <c r="O15" s="9"/>
      <c r="P15" s="9"/>
    </row>
    <row r="16" spans="1:16" ht="14.4" thickBot="1"/>
    <row r="17" spans="1:19" ht="14.4">
      <c r="A17" s="10"/>
      <c r="B17" s="10" t="s">
        <v>138</v>
      </c>
      <c r="C17" s="10" t="s">
        <v>126</v>
      </c>
      <c r="D17" s="10" t="s">
        <v>139</v>
      </c>
      <c r="E17" s="10" t="s">
        <v>140</v>
      </c>
      <c r="F17" s="10" t="s">
        <v>141</v>
      </c>
      <c r="G17" s="10" t="s">
        <v>142</v>
      </c>
      <c r="H17" s="10" t="s">
        <v>143</v>
      </c>
      <c r="I17" s="10" t="s">
        <v>144</v>
      </c>
      <c r="K17" s="10"/>
      <c r="L17" s="10" t="s">
        <v>138</v>
      </c>
      <c r="M17" s="10" t="s">
        <v>126</v>
      </c>
      <c r="N17" s="10" t="s">
        <v>139</v>
      </c>
      <c r="O17" s="10" t="s">
        <v>140</v>
      </c>
      <c r="P17" s="10" t="s">
        <v>141</v>
      </c>
      <c r="Q17" s="10" t="s">
        <v>142</v>
      </c>
      <c r="R17" s="10" t="s">
        <v>143</v>
      </c>
      <c r="S17" s="10" t="s">
        <v>144</v>
      </c>
    </row>
    <row r="18" spans="1:19">
      <c r="A18" s="8" t="s">
        <v>132</v>
      </c>
      <c r="B18" s="8">
        <v>560777.34544943704</v>
      </c>
      <c r="C18" s="8">
        <v>15906.905953068674</v>
      </c>
      <c r="D18" s="8">
        <v>35.253703460870398</v>
      </c>
      <c r="E18" s="8">
        <v>6.952876876284135E-112</v>
      </c>
      <c r="F18" s="8">
        <v>529481.27234763221</v>
      </c>
      <c r="G18" s="8">
        <v>592073.41855124186</v>
      </c>
      <c r="H18" s="8">
        <v>529481.27234763221</v>
      </c>
      <c r="I18" s="8">
        <v>592073.41855124186</v>
      </c>
      <c r="K18" s="8" t="s">
        <v>132</v>
      </c>
      <c r="L18" s="8">
        <v>446410.58293395344</v>
      </c>
      <c r="M18" s="8">
        <v>8407.7382630059928</v>
      </c>
      <c r="N18" s="8">
        <v>53.095204556754318</v>
      </c>
      <c r="O18" s="8">
        <v>4.0862695711507226E-160</v>
      </c>
      <c r="P18" s="8">
        <v>429868.76191129786</v>
      </c>
      <c r="Q18" s="8">
        <v>462952.40395660902</v>
      </c>
      <c r="R18" s="8">
        <v>429868.76191129786</v>
      </c>
      <c r="S18" s="8">
        <v>462952.40395660902</v>
      </c>
    </row>
    <row r="19" spans="1:19" ht="14.4" thickBot="1">
      <c r="A19" s="9" t="s">
        <v>145</v>
      </c>
      <c r="B19" s="9">
        <v>2.1295753275898281</v>
      </c>
      <c r="C19" s="9">
        <v>0.26647838106932348</v>
      </c>
      <c r="D19" s="9">
        <v>7.991550080138869</v>
      </c>
      <c r="E19" s="9">
        <v>2.4800615101360068E-14</v>
      </c>
      <c r="F19" s="9">
        <v>1.6052919176921738</v>
      </c>
      <c r="G19" s="9">
        <v>2.6538587374874822</v>
      </c>
      <c r="H19" s="9">
        <v>1.6052919176921738</v>
      </c>
      <c r="I19" s="9">
        <v>2.6538587374874822</v>
      </c>
      <c r="K19" s="9" t="s">
        <v>145</v>
      </c>
      <c r="L19" s="9">
        <v>35.678031072640458</v>
      </c>
      <c r="M19" s="9">
        <v>1.1973782890340821</v>
      </c>
      <c r="N19" s="9">
        <v>29.796791372776362</v>
      </c>
      <c r="O19" s="9">
        <v>4.7503615090054677E-94</v>
      </c>
      <c r="P19" s="9">
        <v>33.322246825554025</v>
      </c>
      <c r="Q19" s="9">
        <v>38.033815319726891</v>
      </c>
      <c r="R19" s="9">
        <v>33.322246825554025</v>
      </c>
      <c r="S19" s="9">
        <v>38.033815319726891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ECFD4-0486-436A-998F-4B638ECFC402}">
  <dimension ref="A1:I23"/>
  <sheetViews>
    <sheetView workbookViewId="0"/>
  </sheetViews>
  <sheetFormatPr defaultRowHeight="13.8"/>
  <cols>
    <col min="1" max="1" width="18.3984375" customWidth="1"/>
    <col min="2" max="2" width="17.8984375" customWidth="1"/>
    <col min="3" max="3" width="16" customWidth="1"/>
    <col min="4" max="4" width="14.8984375" customWidth="1"/>
    <col min="5" max="5" width="14.796875" customWidth="1"/>
    <col min="6" max="6" width="14.5" customWidth="1"/>
    <col min="7" max="7" width="14.09765625" customWidth="1"/>
    <col min="8" max="8" width="14.19921875" customWidth="1"/>
    <col min="9" max="9" width="13.796875" customWidth="1"/>
  </cols>
  <sheetData>
    <row r="1" spans="1:9">
      <c r="A1" s="20" t="s">
        <v>150</v>
      </c>
      <c r="B1" s="20"/>
    </row>
    <row r="2" spans="1:9" ht="14.4" thickBot="1"/>
    <row r="3" spans="1:9" ht="14.4">
      <c r="A3" s="11" t="s">
        <v>122</v>
      </c>
      <c r="B3" s="11"/>
    </row>
    <row r="4" spans="1:9">
      <c r="A4" s="8" t="s">
        <v>123</v>
      </c>
      <c r="B4" s="8">
        <v>0.8931453338921963</v>
      </c>
    </row>
    <row r="5" spans="1:9">
      <c r="A5" s="8" t="s">
        <v>124</v>
      </c>
      <c r="B5" s="8">
        <v>0.7977085874534029</v>
      </c>
    </row>
    <row r="6" spans="1:9">
      <c r="A6" s="8" t="s">
        <v>125</v>
      </c>
      <c r="B6" s="8">
        <v>0.79383079679755764</v>
      </c>
    </row>
    <row r="7" spans="1:9">
      <c r="A7" s="8" t="s">
        <v>126</v>
      </c>
      <c r="B7" s="8">
        <v>47118.405397898394</v>
      </c>
    </row>
    <row r="8" spans="1:9" ht="14.4" thickBot="1">
      <c r="A8" s="9" t="s">
        <v>127</v>
      </c>
      <c r="B8" s="9">
        <v>320</v>
      </c>
    </row>
    <row r="10" spans="1:9" ht="14.4" thickBot="1">
      <c r="A10" t="s">
        <v>128</v>
      </c>
    </row>
    <row r="11" spans="1:9" ht="14.4">
      <c r="A11" s="10"/>
      <c r="B11" s="10" t="s">
        <v>133</v>
      </c>
      <c r="C11" s="10" t="s">
        <v>134</v>
      </c>
      <c r="D11" s="10" t="s">
        <v>135</v>
      </c>
      <c r="E11" s="10" t="s">
        <v>136</v>
      </c>
      <c r="F11" s="10" t="s">
        <v>137</v>
      </c>
    </row>
    <row r="12" spans="1:9">
      <c r="A12" s="8" t="s">
        <v>129</v>
      </c>
      <c r="B12" s="8">
        <v>6</v>
      </c>
      <c r="C12" s="8">
        <v>2740263504964.4004</v>
      </c>
      <c r="D12" s="8">
        <v>456710584160.7334</v>
      </c>
      <c r="E12" s="8">
        <v>205.71213308045674</v>
      </c>
      <c r="F12" s="8">
        <v>1.9356967105176981E-105</v>
      </c>
    </row>
    <row r="13" spans="1:9">
      <c r="A13" s="8" t="s">
        <v>130</v>
      </c>
      <c r="B13" s="8">
        <v>313</v>
      </c>
      <c r="C13" s="8">
        <v>694905111826.33911</v>
      </c>
      <c r="D13" s="8">
        <v>2220144127.2407002</v>
      </c>
      <c r="E13" s="8"/>
      <c r="F13" s="8"/>
    </row>
    <row r="14" spans="1:9" ht="14.4" thickBot="1">
      <c r="A14" s="9" t="s">
        <v>131</v>
      </c>
      <c r="B14" s="9">
        <v>319</v>
      </c>
      <c r="C14" s="9">
        <v>3435168616790.7393</v>
      </c>
      <c r="D14" s="9"/>
      <c r="E14" s="9"/>
      <c r="F14" s="9"/>
    </row>
    <row r="15" spans="1:9" ht="14.4" thickBot="1"/>
    <row r="16" spans="1:9" ht="14.4">
      <c r="A16" s="10"/>
      <c r="B16" s="10" t="s">
        <v>138</v>
      </c>
      <c r="C16" s="10" t="s">
        <v>126</v>
      </c>
      <c r="D16" s="10" t="s">
        <v>139</v>
      </c>
      <c r="E16" s="10" t="s">
        <v>140</v>
      </c>
      <c r="F16" s="10" t="s">
        <v>141</v>
      </c>
      <c r="G16" s="10" t="s">
        <v>142</v>
      </c>
      <c r="H16" s="10" t="s">
        <v>143</v>
      </c>
      <c r="I16" s="10" t="s">
        <v>144</v>
      </c>
    </row>
    <row r="17" spans="1:9">
      <c r="A17" s="8" t="s">
        <v>132</v>
      </c>
      <c r="B17" s="8">
        <v>391539.40690862609</v>
      </c>
      <c r="C17" s="8">
        <v>11843.91776465437</v>
      </c>
      <c r="D17" s="8">
        <v>33.058267938763592</v>
      </c>
      <c r="E17" s="8">
        <v>4.058807366319543E-104</v>
      </c>
      <c r="F17" s="8">
        <v>368235.6457138012</v>
      </c>
      <c r="G17" s="8">
        <v>414843.16810345097</v>
      </c>
      <c r="H17" s="8">
        <v>368235.6457138012</v>
      </c>
      <c r="I17" s="8">
        <v>414843.16810345097</v>
      </c>
    </row>
    <row r="18" spans="1:9">
      <c r="A18" s="8" t="s">
        <v>4</v>
      </c>
      <c r="B18" s="8">
        <v>1.1291972781944524</v>
      </c>
      <c r="C18" s="8">
        <v>0.13639075805198358</v>
      </c>
      <c r="D18" s="8">
        <v>8.2791333835396195</v>
      </c>
      <c r="E18" s="8">
        <v>3.6430930973914745E-15</v>
      </c>
      <c r="F18" s="8">
        <v>0.86083863893491019</v>
      </c>
      <c r="G18" s="8">
        <v>1.3975559174539947</v>
      </c>
      <c r="H18" s="8">
        <v>0.86083863893491019</v>
      </c>
      <c r="I18" s="8">
        <v>1.3975559174539947</v>
      </c>
    </row>
    <row r="19" spans="1:9">
      <c r="A19" s="8" t="s">
        <v>5</v>
      </c>
      <c r="B19" s="8">
        <v>33.537913160206678</v>
      </c>
      <c r="C19" s="8">
        <v>1.0950994421582187</v>
      </c>
      <c r="D19" s="8">
        <v>30.625449953759684</v>
      </c>
      <c r="E19" s="8">
        <v>3.5666387767451839E-96</v>
      </c>
      <c r="F19" s="8">
        <v>31.383226139261645</v>
      </c>
      <c r="G19" s="8">
        <v>35.692600181151711</v>
      </c>
      <c r="H19" s="8">
        <v>31.383226139261645</v>
      </c>
      <c r="I19" s="8">
        <v>35.692600181151711</v>
      </c>
    </row>
    <row r="20" spans="1:9">
      <c r="A20" s="8" t="s">
        <v>6</v>
      </c>
      <c r="B20" s="8">
        <v>-78421.27849578076</v>
      </c>
      <c r="C20" s="8">
        <v>38907.662592499953</v>
      </c>
      <c r="D20" s="8">
        <v>-2.0155741381107193</v>
      </c>
      <c r="E20" s="8">
        <v>4.4698878117604229E-2</v>
      </c>
      <c r="F20" s="8">
        <v>-154974.90675637848</v>
      </c>
      <c r="G20" s="8">
        <v>-1867.6502351830277</v>
      </c>
      <c r="H20" s="8">
        <v>-154974.90675637848</v>
      </c>
      <c r="I20" s="8">
        <v>-1867.6502351830277</v>
      </c>
    </row>
    <row r="21" spans="1:9">
      <c r="A21" s="8" t="s">
        <v>118</v>
      </c>
      <c r="B21" s="8">
        <v>25624.137910583035</v>
      </c>
      <c r="C21" s="8">
        <v>7173.7740783240833</v>
      </c>
      <c r="D21" s="8">
        <v>3.5719187182110526</v>
      </c>
      <c r="E21" s="8">
        <v>4.1011607255736585E-4</v>
      </c>
      <c r="F21" s="8">
        <v>11509.220759959946</v>
      </c>
      <c r="G21" s="8">
        <v>39739.05506120612</v>
      </c>
      <c r="H21" s="8">
        <v>11509.220759959946</v>
      </c>
      <c r="I21" s="8">
        <v>39739.05506120612</v>
      </c>
    </row>
    <row r="22" spans="1:9">
      <c r="A22" s="8" t="s">
        <v>119</v>
      </c>
      <c r="B22" s="8">
        <v>16305.772308389362</v>
      </c>
      <c r="C22" s="8">
        <v>6466.0447286352355</v>
      </c>
      <c r="D22" s="8">
        <v>2.5217537138551407</v>
      </c>
      <c r="E22" s="8">
        <v>1.2173170287589597E-2</v>
      </c>
      <c r="F22" s="8">
        <v>3583.3636235829399</v>
      </c>
      <c r="G22" s="8">
        <v>29028.180993195783</v>
      </c>
      <c r="H22" s="8">
        <v>3583.3636235829399</v>
      </c>
      <c r="I22" s="8">
        <v>29028.180993195783</v>
      </c>
    </row>
    <row r="23" spans="1:9" ht="14.4" thickBot="1">
      <c r="A23" s="9" t="s">
        <v>120</v>
      </c>
      <c r="B23" s="9">
        <v>35429.150451656184</v>
      </c>
      <c r="C23" s="9">
        <v>10102.992512061421</v>
      </c>
      <c r="D23" s="9">
        <v>3.5067976551857503</v>
      </c>
      <c r="E23" s="9">
        <v>5.1987200329999081E-4</v>
      </c>
      <c r="F23" s="9">
        <v>15550.785071849452</v>
      </c>
      <c r="G23" s="9">
        <v>55307.515831462915</v>
      </c>
      <c r="H23" s="9">
        <v>15550.785071849452</v>
      </c>
      <c r="I23" s="9">
        <v>55307.515831462915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F770C-69DA-404E-B85A-711325CCF42D}">
  <dimension ref="A1:J321"/>
  <sheetViews>
    <sheetView workbookViewId="0"/>
  </sheetViews>
  <sheetFormatPr defaultRowHeight="13.8"/>
  <cols>
    <col min="1" max="1" width="16" customWidth="1"/>
    <col min="2" max="2" width="11.8984375" style="5" customWidth="1"/>
    <col min="3" max="3" width="16.796875" style="5" customWidth="1"/>
    <col min="4" max="4" width="10.59765625" customWidth="1"/>
    <col min="5" max="5" width="11.19921875" customWidth="1"/>
    <col min="9" max="9" width="19.296875" customWidth="1"/>
    <col min="10" max="10" width="13" customWidth="1"/>
  </cols>
  <sheetData>
    <row r="1" spans="1:10" ht="27.6">
      <c r="A1" s="23" t="s">
        <v>0</v>
      </c>
      <c r="B1" s="24" t="s">
        <v>12</v>
      </c>
      <c r="C1" s="24" t="s">
        <v>4</v>
      </c>
      <c r="D1" s="23" t="s">
        <v>5</v>
      </c>
      <c r="E1" s="23" t="s">
        <v>6</v>
      </c>
      <c r="F1" s="23" t="s">
        <v>118</v>
      </c>
      <c r="G1" s="23" t="s">
        <v>119</v>
      </c>
      <c r="H1" s="25" t="s">
        <v>120</v>
      </c>
      <c r="I1" s="26" t="s">
        <v>160</v>
      </c>
      <c r="J1" s="26" t="s">
        <v>130</v>
      </c>
    </row>
    <row r="2" spans="1:10">
      <c r="A2" s="19" t="s">
        <v>14</v>
      </c>
      <c r="B2" s="18">
        <v>658832.62</v>
      </c>
      <c r="C2" s="18">
        <v>70389.11</v>
      </c>
      <c r="D2" s="19">
        <v>8302</v>
      </c>
      <c r="E2" s="19">
        <v>4.2000000000000003E-2</v>
      </c>
      <c r="F2" s="19">
        <v>0</v>
      </c>
      <c r="G2" s="19">
        <v>0</v>
      </c>
      <c r="H2" s="19">
        <v>0</v>
      </c>
      <c r="I2">
        <f>39818.07 + (9.88 * C2) + (15.66 * D2) - (15494.7 * E2) + (630.99 * F2) - (1061.74 * G2) + (18649.34 * H2)</f>
        <v>864621.01940000011</v>
      </c>
      <c r="J2" s="5">
        <f>B2 - I2</f>
        <v>-205788.39940000011</v>
      </c>
    </row>
    <row r="3" spans="1:10">
      <c r="A3" s="19" t="s">
        <v>14</v>
      </c>
      <c r="B3" s="18">
        <v>634436</v>
      </c>
      <c r="C3" s="18">
        <v>43827.89</v>
      </c>
      <c r="D3" s="19">
        <v>8487</v>
      </c>
      <c r="E3" s="19">
        <v>0.16800000000000001</v>
      </c>
      <c r="F3" s="19">
        <v>0</v>
      </c>
      <c r="G3" s="19">
        <v>0</v>
      </c>
      <c r="H3" s="19">
        <v>0</v>
      </c>
      <c r="I3">
        <f t="shared" ref="I3:I66" si="0">39818.07 + (9.88 * C3) + (15.66 * D3) - (15494.7 * E3) + (630.99 * F3) - (1061.74 * G3) + (18649.34 * H3)</f>
        <v>603140.93360000011</v>
      </c>
      <c r="J3" s="5">
        <f t="shared" ref="J3:J66" si="1">B3 - I3</f>
        <v>31295.066399999894</v>
      </c>
    </row>
    <row r="4" spans="1:10">
      <c r="A4" s="19" t="s">
        <v>14</v>
      </c>
      <c r="B4" s="18">
        <v>678722.06</v>
      </c>
      <c r="C4" s="18">
        <v>59921.75</v>
      </c>
      <c r="D4" s="19">
        <v>9113</v>
      </c>
      <c r="E4" s="19">
        <v>0.13300000000000001</v>
      </c>
      <c r="F4" s="19">
        <v>0</v>
      </c>
      <c r="G4" s="19">
        <v>0</v>
      </c>
      <c r="H4" s="19">
        <v>0</v>
      </c>
      <c r="I4">
        <f t="shared" si="0"/>
        <v>772493.74489999993</v>
      </c>
      <c r="J4" s="5">
        <f t="shared" si="1"/>
        <v>-93771.684899999877</v>
      </c>
    </row>
    <row r="5" spans="1:10">
      <c r="A5" s="19" t="s">
        <v>14</v>
      </c>
      <c r="B5" s="18">
        <v>658920.30000000005</v>
      </c>
      <c r="C5" s="18">
        <v>56856.63</v>
      </c>
      <c r="D5" s="19">
        <v>9431</v>
      </c>
      <c r="E5" s="19">
        <v>0.14199999999999999</v>
      </c>
      <c r="F5" s="19">
        <v>0</v>
      </c>
      <c r="G5" s="19">
        <v>0</v>
      </c>
      <c r="H5" s="19">
        <v>0</v>
      </c>
      <c r="I5">
        <f t="shared" si="0"/>
        <v>747050.78699999989</v>
      </c>
      <c r="J5" s="5">
        <f t="shared" si="1"/>
        <v>-88130.486999999848</v>
      </c>
    </row>
    <row r="6" spans="1:10">
      <c r="A6" s="19" t="s">
        <v>17</v>
      </c>
      <c r="B6" s="18">
        <v>741341.44</v>
      </c>
      <c r="C6" s="18">
        <v>48412.639999999999</v>
      </c>
      <c r="D6" s="19">
        <v>9545</v>
      </c>
      <c r="E6" s="19">
        <v>0.23100000000000001</v>
      </c>
      <c r="F6" s="19">
        <v>0</v>
      </c>
      <c r="G6" s="19">
        <v>1</v>
      </c>
      <c r="H6" s="19">
        <v>0</v>
      </c>
      <c r="I6">
        <f t="shared" si="0"/>
        <v>662968.63750000007</v>
      </c>
      <c r="J6" s="5">
        <f t="shared" si="1"/>
        <v>78372.802499999874</v>
      </c>
    </row>
    <row r="7" spans="1:10">
      <c r="A7" s="19" t="s">
        <v>17</v>
      </c>
      <c r="B7" s="18">
        <v>761835.34</v>
      </c>
      <c r="C7" s="18">
        <v>64811.21</v>
      </c>
      <c r="D7" s="19">
        <v>9792</v>
      </c>
      <c r="E7" s="19">
        <v>0.112</v>
      </c>
      <c r="F7" s="19">
        <v>0</v>
      </c>
      <c r="G7" s="19">
        <v>1</v>
      </c>
      <c r="H7" s="19">
        <v>0</v>
      </c>
      <c r="I7">
        <f t="shared" si="0"/>
        <v>830698.39839999995</v>
      </c>
      <c r="J7" s="5">
        <f t="shared" si="1"/>
        <v>-68863.05839999998</v>
      </c>
    </row>
    <row r="8" spans="1:10">
      <c r="A8" s="19" t="s">
        <v>17</v>
      </c>
      <c r="B8" s="18">
        <v>806615.54</v>
      </c>
      <c r="C8" s="18">
        <v>46213.45</v>
      </c>
      <c r="D8" s="19">
        <v>10616</v>
      </c>
      <c r="E8" s="19">
        <v>0.122</v>
      </c>
      <c r="F8" s="19">
        <v>0</v>
      </c>
      <c r="G8" s="19">
        <v>1</v>
      </c>
      <c r="H8" s="19">
        <v>0</v>
      </c>
      <c r="I8">
        <f t="shared" si="0"/>
        <v>659701.42260000005</v>
      </c>
      <c r="J8" s="5">
        <f t="shared" si="1"/>
        <v>146914.11739999999</v>
      </c>
    </row>
    <row r="9" spans="1:10">
      <c r="A9" s="19" t="s">
        <v>17</v>
      </c>
      <c r="B9" s="18">
        <v>850164.26</v>
      </c>
      <c r="C9" s="18">
        <v>68148.52</v>
      </c>
      <c r="D9" s="19">
        <v>8567</v>
      </c>
      <c r="E9" s="19">
        <v>0.127</v>
      </c>
      <c r="F9" s="19">
        <v>0</v>
      </c>
      <c r="G9" s="19">
        <v>1</v>
      </c>
      <c r="H9" s="19">
        <v>0</v>
      </c>
      <c r="I9">
        <f t="shared" si="0"/>
        <v>844255.10070000007</v>
      </c>
      <c r="J9" s="5">
        <f t="shared" si="1"/>
        <v>5909.1592999999411</v>
      </c>
    </row>
    <row r="10" spans="1:10">
      <c r="A10" s="19" t="s">
        <v>19</v>
      </c>
      <c r="B10" s="18">
        <v>930581.7</v>
      </c>
      <c r="C10" s="18">
        <v>71838.86</v>
      </c>
      <c r="D10" s="19">
        <v>10979</v>
      </c>
      <c r="E10" s="19">
        <v>0.215</v>
      </c>
      <c r="F10" s="19">
        <v>0</v>
      </c>
      <c r="G10" s="19">
        <v>0</v>
      </c>
      <c r="H10" s="19">
        <v>1</v>
      </c>
      <c r="I10">
        <f t="shared" si="0"/>
        <v>936835.1263</v>
      </c>
      <c r="J10" s="5">
        <f t="shared" si="1"/>
        <v>-6253.4263000000501</v>
      </c>
    </row>
    <row r="11" spans="1:10">
      <c r="A11" s="19" t="s">
        <v>19</v>
      </c>
      <c r="B11" s="18">
        <v>779010.94</v>
      </c>
      <c r="C11" s="18">
        <v>68133.440000000002</v>
      </c>
      <c r="D11" s="19">
        <v>9459</v>
      </c>
      <c r="E11" s="19">
        <v>0.22</v>
      </c>
      <c r="F11" s="19">
        <v>0</v>
      </c>
      <c r="G11" s="19">
        <v>0</v>
      </c>
      <c r="H11" s="19">
        <v>1</v>
      </c>
      <c r="I11">
        <f t="shared" si="0"/>
        <v>876344.90319999994</v>
      </c>
      <c r="J11" s="5">
        <f t="shared" si="1"/>
        <v>-97333.963199999998</v>
      </c>
    </row>
    <row r="12" spans="1:10">
      <c r="A12" s="19" t="s">
        <v>19</v>
      </c>
      <c r="B12" s="18">
        <v>723060.76</v>
      </c>
      <c r="C12" s="18">
        <v>34285.21</v>
      </c>
      <c r="D12" s="19">
        <v>9172</v>
      </c>
      <c r="E12" s="19">
        <v>0.21299999999999999</v>
      </c>
      <c r="F12" s="19">
        <v>0</v>
      </c>
      <c r="G12" s="19">
        <v>0</v>
      </c>
      <c r="H12" s="19">
        <v>1</v>
      </c>
      <c r="I12">
        <f t="shared" si="0"/>
        <v>537538.43369999994</v>
      </c>
      <c r="J12" s="5">
        <f t="shared" si="1"/>
        <v>185522.32630000007</v>
      </c>
    </row>
    <row r="13" spans="1:10">
      <c r="A13" s="19" t="s">
        <v>19</v>
      </c>
      <c r="B13" s="18">
        <v>910791.94</v>
      </c>
      <c r="C13" s="18">
        <v>67979.88</v>
      </c>
      <c r="D13" s="19">
        <v>11230</v>
      </c>
      <c r="E13" s="19">
        <v>2E-3</v>
      </c>
      <c r="F13" s="19">
        <v>0</v>
      </c>
      <c r="G13" s="19">
        <v>0</v>
      </c>
      <c r="H13" s="19">
        <v>1</v>
      </c>
      <c r="I13">
        <f t="shared" si="0"/>
        <v>905939.43500000006</v>
      </c>
      <c r="J13" s="5">
        <f t="shared" si="1"/>
        <v>4852.5049999998882</v>
      </c>
    </row>
    <row r="14" spans="1:10">
      <c r="A14" s="19" t="s">
        <v>22</v>
      </c>
      <c r="B14" s="18">
        <v>922168.6</v>
      </c>
      <c r="C14" s="18">
        <v>71828.259999999995</v>
      </c>
      <c r="D14" s="19">
        <v>12775</v>
      </c>
      <c r="E14" s="19">
        <v>0.11600000000000001</v>
      </c>
      <c r="F14" s="19">
        <v>0</v>
      </c>
      <c r="G14" s="19">
        <v>0</v>
      </c>
      <c r="H14" s="19">
        <v>0</v>
      </c>
      <c r="I14">
        <f t="shared" si="0"/>
        <v>947740.39359999995</v>
      </c>
      <c r="J14" s="5">
        <f t="shared" si="1"/>
        <v>-25571.793599999975</v>
      </c>
    </row>
    <row r="15" spans="1:10">
      <c r="A15" s="19" t="s">
        <v>22</v>
      </c>
      <c r="B15" s="18">
        <v>726606.28</v>
      </c>
      <c r="C15" s="18">
        <v>55716.82</v>
      </c>
      <c r="D15" s="19">
        <v>10054</v>
      </c>
      <c r="E15" s="19">
        <v>0.14599999999999999</v>
      </c>
      <c r="F15" s="19">
        <v>0</v>
      </c>
      <c r="G15" s="19">
        <v>0</v>
      </c>
      <c r="H15" s="19">
        <v>0</v>
      </c>
      <c r="I15">
        <f t="shared" si="0"/>
        <v>745483.66539999994</v>
      </c>
      <c r="J15" s="5">
        <f t="shared" si="1"/>
        <v>-18877.385399999912</v>
      </c>
    </row>
    <row r="16" spans="1:10">
      <c r="A16" s="19" t="s">
        <v>22</v>
      </c>
      <c r="B16" s="18">
        <v>746501.09</v>
      </c>
      <c r="C16" s="18">
        <v>59909.51</v>
      </c>
      <c r="D16" s="19">
        <v>8895</v>
      </c>
      <c r="E16" s="19">
        <v>0.22800000000000001</v>
      </c>
      <c r="F16" s="19">
        <v>0</v>
      </c>
      <c r="G16" s="19">
        <v>0</v>
      </c>
      <c r="H16" s="19">
        <v>0</v>
      </c>
      <c r="I16">
        <f t="shared" si="0"/>
        <v>767486.93719999993</v>
      </c>
      <c r="J16" s="5">
        <f t="shared" si="1"/>
        <v>-20985.84719999996</v>
      </c>
    </row>
    <row r="17" spans="1:10">
      <c r="A17" s="19" t="s">
        <v>22</v>
      </c>
      <c r="B17" s="18">
        <v>834017.02</v>
      </c>
      <c r="C17" s="18">
        <v>75305.710000000006</v>
      </c>
      <c r="D17" s="19">
        <v>10940</v>
      </c>
      <c r="E17" s="19">
        <v>6.0000000000000001E-3</v>
      </c>
      <c r="F17" s="19">
        <v>0</v>
      </c>
      <c r="G17" s="19">
        <v>0</v>
      </c>
      <c r="H17" s="19">
        <v>0</v>
      </c>
      <c r="I17">
        <f t="shared" si="0"/>
        <v>955065.91660000011</v>
      </c>
      <c r="J17" s="5">
        <f t="shared" si="1"/>
        <v>-121048.89660000009</v>
      </c>
    </row>
    <row r="18" spans="1:10">
      <c r="A18" s="19" t="s">
        <v>23</v>
      </c>
      <c r="B18" s="18">
        <v>666152.52</v>
      </c>
      <c r="C18" s="18">
        <v>48804.22</v>
      </c>
      <c r="D18" s="19">
        <v>7057</v>
      </c>
      <c r="E18" s="19">
        <v>5.0000000000000001E-3</v>
      </c>
      <c r="F18" s="19">
        <v>0</v>
      </c>
      <c r="G18" s="19">
        <v>0</v>
      </c>
      <c r="H18" s="19">
        <v>0</v>
      </c>
      <c r="I18">
        <f t="shared" si="0"/>
        <v>632438.9101000001</v>
      </c>
      <c r="J18" s="5">
        <f t="shared" si="1"/>
        <v>33713.609899999923</v>
      </c>
    </row>
    <row r="19" spans="1:10">
      <c r="A19" s="19" t="s">
        <v>23</v>
      </c>
      <c r="B19" s="18">
        <v>573155.18999999994</v>
      </c>
      <c r="C19" s="18">
        <v>59117.9</v>
      </c>
      <c r="D19" s="19">
        <v>4263</v>
      </c>
      <c r="E19" s="19">
        <v>0.11899999999999999</v>
      </c>
      <c r="F19" s="19">
        <v>0</v>
      </c>
      <c r="G19" s="19">
        <v>0</v>
      </c>
      <c r="H19" s="19">
        <v>0</v>
      </c>
      <c r="I19">
        <f t="shared" si="0"/>
        <v>688817.63269999996</v>
      </c>
      <c r="J19" s="5">
        <f t="shared" si="1"/>
        <v>-115662.44270000001</v>
      </c>
    </row>
    <row r="20" spans="1:10">
      <c r="A20" s="19" t="s">
        <v>23</v>
      </c>
      <c r="B20" s="18">
        <v>666573.19999999995</v>
      </c>
      <c r="C20" s="18">
        <v>78831.12</v>
      </c>
      <c r="D20" s="19">
        <v>5538</v>
      </c>
      <c r="E20" s="19">
        <v>0</v>
      </c>
      <c r="F20" s="19">
        <v>0</v>
      </c>
      <c r="G20" s="19">
        <v>0</v>
      </c>
      <c r="H20" s="19">
        <v>0</v>
      </c>
      <c r="I20">
        <f t="shared" si="0"/>
        <v>905394.6155999999</v>
      </c>
      <c r="J20" s="5">
        <f t="shared" si="1"/>
        <v>-238821.41559999995</v>
      </c>
    </row>
    <row r="21" spans="1:10">
      <c r="A21" s="19" t="s">
        <v>23</v>
      </c>
      <c r="B21" s="18">
        <v>591619.94999999995</v>
      </c>
      <c r="C21" s="18">
        <v>41441.93</v>
      </c>
      <c r="D21" s="19">
        <v>4865</v>
      </c>
      <c r="E21" s="19">
        <v>0.158</v>
      </c>
      <c r="F21" s="19">
        <v>0</v>
      </c>
      <c r="G21" s="19">
        <v>0</v>
      </c>
      <c r="H21" s="19">
        <v>0</v>
      </c>
      <c r="I21">
        <f t="shared" si="0"/>
        <v>523002.07580000005</v>
      </c>
      <c r="J21" s="5">
        <f t="shared" si="1"/>
        <v>68617.874199999904</v>
      </c>
    </row>
    <row r="22" spans="1:10">
      <c r="A22" s="19" t="s">
        <v>25</v>
      </c>
      <c r="B22" s="18">
        <v>415721.82</v>
      </c>
      <c r="C22" s="18">
        <v>30356.28</v>
      </c>
      <c r="D22" s="19">
        <v>2822</v>
      </c>
      <c r="E22" s="19">
        <v>0.23100000000000001</v>
      </c>
      <c r="F22" s="19">
        <v>0</v>
      </c>
      <c r="G22" s="19">
        <v>0</v>
      </c>
      <c r="H22" s="19">
        <v>0</v>
      </c>
      <c r="I22">
        <f t="shared" si="0"/>
        <v>380351.36070000002</v>
      </c>
      <c r="J22" s="5">
        <f t="shared" si="1"/>
        <v>35370.459299999988</v>
      </c>
    </row>
    <row r="23" spans="1:10">
      <c r="A23" s="19" t="s">
        <v>25</v>
      </c>
      <c r="B23" s="18">
        <v>491905.13</v>
      </c>
      <c r="C23" s="18">
        <v>33518.879999999997</v>
      </c>
      <c r="D23" s="19">
        <v>2121</v>
      </c>
      <c r="E23" s="19">
        <v>0.17599999999999999</v>
      </c>
      <c r="F23" s="19">
        <v>0</v>
      </c>
      <c r="G23" s="19">
        <v>0</v>
      </c>
      <c r="H23" s="19">
        <v>0</v>
      </c>
      <c r="I23">
        <f t="shared" si="0"/>
        <v>401472.39720000001</v>
      </c>
      <c r="J23" s="5">
        <f t="shared" si="1"/>
        <v>90432.732799999998</v>
      </c>
    </row>
    <row r="24" spans="1:10">
      <c r="A24" s="19" t="s">
        <v>25</v>
      </c>
      <c r="B24" s="18">
        <v>555929.4</v>
      </c>
      <c r="C24" s="18">
        <v>42267.37</v>
      </c>
      <c r="D24" s="19">
        <v>3364</v>
      </c>
      <c r="E24" s="19">
        <v>0.16</v>
      </c>
      <c r="F24" s="19">
        <v>0</v>
      </c>
      <c r="G24" s="19">
        <v>0</v>
      </c>
      <c r="H24" s="19">
        <v>0</v>
      </c>
      <c r="I24">
        <f t="shared" si="0"/>
        <v>507620.77360000007</v>
      </c>
      <c r="J24" s="5">
        <f t="shared" si="1"/>
        <v>48308.62639999995</v>
      </c>
    </row>
    <row r="25" spans="1:10">
      <c r="A25" s="19" t="s">
        <v>25</v>
      </c>
      <c r="B25" s="18">
        <v>565810.99</v>
      </c>
      <c r="C25" s="18">
        <v>62060.43</v>
      </c>
      <c r="D25" s="19">
        <v>2613</v>
      </c>
      <c r="E25" s="19">
        <v>0.216</v>
      </c>
      <c r="F25" s="19">
        <v>0</v>
      </c>
      <c r="G25" s="19">
        <v>0</v>
      </c>
      <c r="H25" s="19">
        <v>0</v>
      </c>
      <c r="I25">
        <f t="shared" si="0"/>
        <v>690547.8432</v>
      </c>
      <c r="J25" s="5">
        <f t="shared" si="1"/>
        <v>-124736.85320000001</v>
      </c>
    </row>
    <row r="26" spans="1:10">
      <c r="A26" s="19" t="s">
        <v>26</v>
      </c>
      <c r="B26" s="18">
        <v>811771.14</v>
      </c>
      <c r="C26" s="18">
        <v>57696.69</v>
      </c>
      <c r="D26" s="19">
        <v>10218</v>
      </c>
      <c r="E26" s="19">
        <v>0.121</v>
      </c>
      <c r="F26" s="19">
        <v>1</v>
      </c>
      <c r="G26" s="19">
        <v>0</v>
      </c>
      <c r="H26" s="19">
        <v>0</v>
      </c>
      <c r="I26">
        <f t="shared" si="0"/>
        <v>768631.37849999999</v>
      </c>
      <c r="J26" s="5">
        <f t="shared" si="1"/>
        <v>43139.761500000022</v>
      </c>
    </row>
    <row r="27" spans="1:10">
      <c r="A27" s="19" t="s">
        <v>26</v>
      </c>
      <c r="B27" s="18">
        <v>800451.94</v>
      </c>
      <c r="C27" s="18">
        <v>172415.52</v>
      </c>
      <c r="D27" s="19">
        <v>8927</v>
      </c>
      <c r="E27" s="19">
        <v>0.14000000000000001</v>
      </c>
      <c r="F27" s="19">
        <v>1</v>
      </c>
      <c r="G27" s="19">
        <v>0</v>
      </c>
      <c r="H27" s="19">
        <v>0</v>
      </c>
      <c r="I27">
        <f t="shared" si="0"/>
        <v>1881541.9596000002</v>
      </c>
      <c r="J27" s="5">
        <f t="shared" si="1"/>
        <v>-1081090.0196000002</v>
      </c>
    </row>
    <row r="28" spans="1:10">
      <c r="A28" s="19" t="s">
        <v>26</v>
      </c>
      <c r="B28" s="18">
        <v>783672.82</v>
      </c>
      <c r="C28" s="18">
        <v>55270.52</v>
      </c>
      <c r="D28" s="19">
        <v>9315</v>
      </c>
      <c r="E28" s="19">
        <v>0.16900000000000001</v>
      </c>
      <c r="F28" s="19">
        <v>1</v>
      </c>
      <c r="G28" s="19">
        <v>0</v>
      </c>
      <c r="H28" s="19">
        <v>0</v>
      </c>
      <c r="I28">
        <f t="shared" si="0"/>
        <v>729776.09329999995</v>
      </c>
      <c r="J28" s="5">
        <f t="shared" si="1"/>
        <v>53896.726699999999</v>
      </c>
    </row>
    <row r="29" spans="1:10">
      <c r="A29" s="19" t="s">
        <v>26</v>
      </c>
      <c r="B29" s="18">
        <v>701641.97</v>
      </c>
      <c r="C29" s="18">
        <v>52715.1</v>
      </c>
      <c r="D29" s="19">
        <v>7223</v>
      </c>
      <c r="E29" s="19">
        <v>0.122</v>
      </c>
      <c r="F29" s="19">
        <v>1</v>
      </c>
      <c r="G29" s="19">
        <v>0</v>
      </c>
      <c r="H29" s="19">
        <v>0</v>
      </c>
      <c r="I29">
        <f t="shared" si="0"/>
        <v>672496.07460000005</v>
      </c>
      <c r="J29" s="5">
        <f t="shared" si="1"/>
        <v>29145.895399999921</v>
      </c>
    </row>
    <row r="30" spans="1:10">
      <c r="A30" s="19" t="s">
        <v>29</v>
      </c>
      <c r="B30" s="18">
        <v>511844.41</v>
      </c>
      <c r="C30" s="18">
        <v>68600.62</v>
      </c>
      <c r="D30" s="19">
        <v>3988</v>
      </c>
      <c r="E30" s="19">
        <v>0.124</v>
      </c>
      <c r="F30" s="19">
        <v>0</v>
      </c>
      <c r="G30" s="19">
        <v>0</v>
      </c>
      <c r="H30" s="19">
        <v>0</v>
      </c>
      <c r="I30">
        <f t="shared" si="0"/>
        <v>778122.93279999995</v>
      </c>
      <c r="J30" s="5">
        <f t="shared" si="1"/>
        <v>-266278.52279999998</v>
      </c>
    </row>
    <row r="31" spans="1:10">
      <c r="A31" s="19" t="s">
        <v>29</v>
      </c>
      <c r="B31" s="18">
        <v>537383.79</v>
      </c>
      <c r="C31" s="18">
        <v>63176.73</v>
      </c>
      <c r="D31" s="19">
        <v>2390</v>
      </c>
      <c r="E31" s="19">
        <v>0.216</v>
      </c>
      <c r="F31" s="19">
        <v>0</v>
      </c>
      <c r="G31" s="19">
        <v>0</v>
      </c>
      <c r="H31" s="19">
        <v>0</v>
      </c>
      <c r="I31">
        <f t="shared" si="0"/>
        <v>698084.70720000006</v>
      </c>
      <c r="J31" s="5">
        <f t="shared" si="1"/>
        <v>-160700.91720000003</v>
      </c>
    </row>
    <row r="32" spans="1:10">
      <c r="A32" s="19" t="s">
        <v>29</v>
      </c>
      <c r="B32" s="18">
        <v>500173.02</v>
      </c>
      <c r="C32" s="18">
        <v>44970.080000000002</v>
      </c>
      <c r="D32" s="19">
        <v>2471</v>
      </c>
      <c r="E32" s="19">
        <v>0.13600000000000001</v>
      </c>
      <c r="F32" s="19">
        <v>0</v>
      </c>
      <c r="G32" s="19">
        <v>0</v>
      </c>
      <c r="H32" s="19">
        <v>0</v>
      </c>
      <c r="I32">
        <f t="shared" si="0"/>
        <v>520711.04120000004</v>
      </c>
      <c r="J32" s="5">
        <f t="shared" si="1"/>
        <v>-20538.021200000017</v>
      </c>
    </row>
    <row r="33" spans="1:10">
      <c r="A33" s="19" t="s">
        <v>29</v>
      </c>
      <c r="B33" s="18">
        <v>427917.38</v>
      </c>
      <c r="C33" s="18">
        <v>69816.350000000006</v>
      </c>
      <c r="D33" s="19">
        <v>971</v>
      </c>
      <c r="E33" s="19">
        <v>0.16800000000000001</v>
      </c>
      <c r="F33" s="19">
        <v>0</v>
      </c>
      <c r="G33" s="19">
        <v>0</v>
      </c>
      <c r="H33" s="19">
        <v>0</v>
      </c>
      <c r="I33">
        <f t="shared" si="0"/>
        <v>742206.35840000003</v>
      </c>
      <c r="J33" s="5">
        <f t="shared" si="1"/>
        <v>-314288.97840000002</v>
      </c>
    </row>
    <row r="34" spans="1:10">
      <c r="A34" s="19" t="s">
        <v>30</v>
      </c>
      <c r="B34" s="18">
        <v>641865.03</v>
      </c>
      <c r="C34" s="18">
        <v>54597.83</v>
      </c>
      <c r="D34" s="19">
        <v>9429</v>
      </c>
      <c r="E34" s="19">
        <v>0.188</v>
      </c>
      <c r="F34" s="19">
        <v>0</v>
      </c>
      <c r="G34" s="19">
        <v>0</v>
      </c>
      <c r="H34" s="19">
        <v>0</v>
      </c>
      <c r="I34">
        <f t="shared" si="0"/>
        <v>723989.76679999998</v>
      </c>
      <c r="J34" s="5">
        <f t="shared" si="1"/>
        <v>-82124.736799999955</v>
      </c>
    </row>
    <row r="35" spans="1:10">
      <c r="A35" s="19" t="s">
        <v>30</v>
      </c>
      <c r="B35" s="18">
        <v>799477.76000000001</v>
      </c>
      <c r="C35" s="18">
        <v>73771.91</v>
      </c>
      <c r="D35" s="19">
        <v>11695</v>
      </c>
      <c r="E35" s="19">
        <v>7.0000000000000007E-2</v>
      </c>
      <c r="F35" s="19">
        <v>0</v>
      </c>
      <c r="G35" s="19">
        <v>0</v>
      </c>
      <c r="H35" s="19">
        <v>0</v>
      </c>
      <c r="I35">
        <f t="shared" si="0"/>
        <v>950743.61180000007</v>
      </c>
      <c r="J35" s="5">
        <f t="shared" si="1"/>
        <v>-151265.85180000006</v>
      </c>
    </row>
    <row r="36" spans="1:10">
      <c r="A36" s="19" t="s">
        <v>30</v>
      </c>
      <c r="B36" s="18">
        <v>798952.17</v>
      </c>
      <c r="C36" s="18">
        <v>74413.88</v>
      </c>
      <c r="D36" s="19">
        <v>9449</v>
      </c>
      <c r="E36" s="19">
        <v>3.9E-2</v>
      </c>
      <c r="F36" s="19">
        <v>0</v>
      </c>
      <c r="G36" s="19">
        <v>0</v>
      </c>
      <c r="H36" s="19">
        <v>0</v>
      </c>
      <c r="I36">
        <f t="shared" si="0"/>
        <v>922394.25109999999</v>
      </c>
      <c r="J36" s="5">
        <f t="shared" si="1"/>
        <v>-123442.08109999995</v>
      </c>
    </row>
    <row r="37" spans="1:10">
      <c r="A37" s="19" t="s">
        <v>30</v>
      </c>
      <c r="B37" s="18">
        <v>800979.78</v>
      </c>
      <c r="C37" s="18">
        <v>52483.77</v>
      </c>
      <c r="D37" s="19">
        <v>10453</v>
      </c>
      <c r="E37" s="19">
        <v>0.247</v>
      </c>
      <c r="F37" s="19">
        <v>0</v>
      </c>
      <c r="G37" s="19">
        <v>0</v>
      </c>
      <c r="H37" s="19">
        <v>0</v>
      </c>
      <c r="I37">
        <f t="shared" si="0"/>
        <v>718224.50669999991</v>
      </c>
      <c r="J37" s="5">
        <f t="shared" si="1"/>
        <v>82755.273300000117</v>
      </c>
    </row>
    <row r="38" spans="1:10">
      <c r="A38" s="19" t="s">
        <v>31</v>
      </c>
      <c r="B38" s="18">
        <v>820593.93</v>
      </c>
      <c r="C38" s="18">
        <v>75269.87</v>
      </c>
      <c r="D38" s="19">
        <v>8838</v>
      </c>
      <c r="E38" s="19">
        <v>9.1999999999999998E-2</v>
      </c>
      <c r="F38" s="19">
        <v>1</v>
      </c>
      <c r="G38" s="19">
        <v>0</v>
      </c>
      <c r="H38" s="19">
        <v>0</v>
      </c>
      <c r="I38">
        <f t="shared" si="0"/>
        <v>921092.94319999986</v>
      </c>
      <c r="J38" s="5">
        <f t="shared" si="1"/>
        <v>-100499.01319999981</v>
      </c>
    </row>
    <row r="39" spans="1:10">
      <c r="A39" s="19" t="s">
        <v>31</v>
      </c>
      <c r="B39" s="18">
        <v>718330.53</v>
      </c>
      <c r="C39" s="18">
        <v>61245.41</v>
      </c>
      <c r="D39" s="19">
        <v>8156</v>
      </c>
      <c r="E39" s="19">
        <v>0.156</v>
      </c>
      <c r="F39" s="19">
        <v>1</v>
      </c>
      <c r="G39" s="19">
        <v>0</v>
      </c>
      <c r="H39" s="19">
        <v>0</v>
      </c>
      <c r="I39">
        <f t="shared" si="0"/>
        <v>770859.4976</v>
      </c>
      <c r="J39" s="5">
        <f t="shared" si="1"/>
        <v>-52528.967599999974</v>
      </c>
    </row>
    <row r="40" spans="1:10">
      <c r="A40" s="19" t="s">
        <v>31</v>
      </c>
      <c r="B40" s="18">
        <v>736633.4</v>
      </c>
      <c r="C40" s="18">
        <v>93381.26</v>
      </c>
      <c r="D40" s="19">
        <v>7562</v>
      </c>
      <c r="E40" s="19">
        <v>0.19800000000000001</v>
      </c>
      <c r="F40" s="19">
        <v>1</v>
      </c>
      <c r="G40" s="19">
        <v>0</v>
      </c>
      <c r="H40" s="19">
        <v>0</v>
      </c>
      <c r="I40">
        <f t="shared" si="0"/>
        <v>1078408.8781999999</v>
      </c>
      <c r="J40" s="5">
        <f t="shared" si="1"/>
        <v>-341775.4781999999</v>
      </c>
    </row>
    <row r="41" spans="1:10">
      <c r="A41" s="19" t="s">
        <v>31</v>
      </c>
      <c r="B41" s="18">
        <v>828623.85</v>
      </c>
      <c r="C41" s="18">
        <v>65012.19</v>
      </c>
      <c r="D41" s="19">
        <v>9598</v>
      </c>
      <c r="E41" s="19">
        <v>8.5000000000000006E-2</v>
      </c>
      <c r="F41" s="19">
        <v>1</v>
      </c>
      <c r="G41" s="19">
        <v>0</v>
      </c>
      <c r="H41" s="19">
        <v>0</v>
      </c>
      <c r="I41">
        <f t="shared" si="0"/>
        <v>831757.12770000007</v>
      </c>
      <c r="J41" s="5">
        <f t="shared" si="1"/>
        <v>-3133.2777000000933</v>
      </c>
    </row>
    <row r="42" spans="1:10">
      <c r="A42" s="19" t="s">
        <v>32</v>
      </c>
      <c r="B42" s="18">
        <v>592195.85</v>
      </c>
      <c r="C42" s="18">
        <v>40462.94</v>
      </c>
      <c r="D42" s="19">
        <v>3660</v>
      </c>
      <c r="E42" s="19">
        <v>0.218</v>
      </c>
      <c r="F42" s="19">
        <v>1</v>
      </c>
      <c r="G42" s="19">
        <v>0</v>
      </c>
      <c r="H42" s="19">
        <v>0</v>
      </c>
      <c r="I42">
        <f t="shared" si="0"/>
        <v>494160.66260000004</v>
      </c>
      <c r="J42" s="5">
        <f t="shared" si="1"/>
        <v>98035.187399999937</v>
      </c>
    </row>
    <row r="43" spans="1:10">
      <c r="A43" s="19" t="s">
        <v>32</v>
      </c>
      <c r="B43" s="18">
        <v>532644.46</v>
      </c>
      <c r="C43" s="18">
        <v>46123.88</v>
      </c>
      <c r="D43" s="19">
        <v>3227</v>
      </c>
      <c r="E43" s="19">
        <v>0.14299999999999999</v>
      </c>
      <c r="F43" s="19">
        <v>1</v>
      </c>
      <c r="G43" s="19">
        <v>0</v>
      </c>
      <c r="H43" s="19">
        <v>0</v>
      </c>
      <c r="I43">
        <f t="shared" si="0"/>
        <v>544472.0723</v>
      </c>
      <c r="J43" s="5">
        <f t="shared" si="1"/>
        <v>-11827.612300000037</v>
      </c>
    </row>
    <row r="44" spans="1:10">
      <c r="A44" s="19" t="s">
        <v>32</v>
      </c>
      <c r="B44" s="18">
        <v>657429.18000000005</v>
      </c>
      <c r="C44" s="18">
        <v>68077.539999999994</v>
      </c>
      <c r="D44" s="19">
        <v>3360</v>
      </c>
      <c r="E44" s="19">
        <v>0.128</v>
      </c>
      <c r="F44" s="19">
        <v>1</v>
      </c>
      <c r="G44" s="19">
        <v>0</v>
      </c>
      <c r="H44" s="19">
        <v>0</v>
      </c>
      <c r="I44">
        <f t="shared" si="0"/>
        <v>763689.43359999987</v>
      </c>
      <c r="J44" s="5">
        <f t="shared" si="1"/>
        <v>-106260.25359999982</v>
      </c>
    </row>
    <row r="45" spans="1:10">
      <c r="A45" s="19" t="s">
        <v>32</v>
      </c>
      <c r="B45" s="18">
        <v>605178</v>
      </c>
      <c r="C45" s="18">
        <v>64882.14</v>
      </c>
      <c r="D45" s="19">
        <v>3642</v>
      </c>
      <c r="E45" s="19">
        <v>1.9E-2</v>
      </c>
      <c r="F45" s="19">
        <v>1</v>
      </c>
      <c r="G45" s="19">
        <v>0</v>
      </c>
      <c r="H45" s="19">
        <v>0</v>
      </c>
      <c r="I45">
        <f t="shared" si="0"/>
        <v>738223.92389999994</v>
      </c>
      <c r="J45" s="5">
        <f t="shared" si="1"/>
        <v>-133045.92389999994</v>
      </c>
    </row>
    <row r="46" spans="1:10">
      <c r="A46" s="19" t="s">
        <v>33</v>
      </c>
      <c r="B46" s="18">
        <v>595467.6</v>
      </c>
      <c r="C46" s="18">
        <v>138855.51</v>
      </c>
      <c r="D46" s="19">
        <v>5145</v>
      </c>
      <c r="E46" s="19">
        <v>0.06</v>
      </c>
      <c r="F46" s="19">
        <v>0</v>
      </c>
      <c r="G46" s="19">
        <v>0</v>
      </c>
      <c r="H46" s="19">
        <v>0</v>
      </c>
      <c r="I46">
        <f t="shared" si="0"/>
        <v>1491351.5268000001</v>
      </c>
      <c r="J46" s="5">
        <f t="shared" si="1"/>
        <v>-895883.92680000013</v>
      </c>
    </row>
    <row r="47" spans="1:10">
      <c r="A47" s="19" t="s">
        <v>33</v>
      </c>
      <c r="B47" s="18">
        <v>599603.4</v>
      </c>
      <c r="C47" s="18">
        <v>63630.21</v>
      </c>
      <c r="D47" s="19">
        <v>4460</v>
      </c>
      <c r="E47" s="19">
        <v>0.23499999999999999</v>
      </c>
      <c r="F47" s="19">
        <v>0</v>
      </c>
      <c r="G47" s="19">
        <v>0</v>
      </c>
      <c r="H47" s="19">
        <v>0</v>
      </c>
      <c r="I47">
        <f t="shared" si="0"/>
        <v>734686.89029999997</v>
      </c>
      <c r="J47" s="5">
        <f t="shared" si="1"/>
        <v>-135083.49029999995</v>
      </c>
    </row>
    <row r="48" spans="1:10">
      <c r="A48" s="19" t="s">
        <v>33</v>
      </c>
      <c r="B48" s="18">
        <v>614800.09</v>
      </c>
      <c r="C48" s="18">
        <v>50043.65</v>
      </c>
      <c r="D48" s="19">
        <v>3804</v>
      </c>
      <c r="E48" s="19">
        <v>0.113</v>
      </c>
      <c r="F48" s="19">
        <v>0</v>
      </c>
      <c r="G48" s="19">
        <v>0</v>
      </c>
      <c r="H48" s="19">
        <v>0</v>
      </c>
      <c r="I48">
        <f t="shared" si="0"/>
        <v>592069.07090000005</v>
      </c>
      <c r="J48" s="5">
        <f t="shared" si="1"/>
        <v>22731.019099999918</v>
      </c>
    </row>
    <row r="49" spans="1:10">
      <c r="A49" s="19" t="s">
        <v>33</v>
      </c>
      <c r="B49" s="18">
        <v>585365.73</v>
      </c>
      <c r="C49" s="18">
        <v>42093.84</v>
      </c>
      <c r="D49" s="19">
        <v>4074</v>
      </c>
      <c r="E49" s="19">
        <v>0.155</v>
      </c>
      <c r="F49" s="19">
        <v>0</v>
      </c>
      <c r="G49" s="19">
        <v>0</v>
      </c>
      <c r="H49" s="19">
        <v>0</v>
      </c>
      <c r="I49">
        <f t="shared" si="0"/>
        <v>517102.37070000003</v>
      </c>
      <c r="J49" s="5">
        <f t="shared" si="1"/>
        <v>68263.359299999953</v>
      </c>
    </row>
    <row r="50" spans="1:10">
      <c r="A50" s="19" t="s">
        <v>34</v>
      </c>
      <c r="B50" s="18">
        <v>622811.74</v>
      </c>
      <c r="C50" s="18">
        <v>46624.05</v>
      </c>
      <c r="D50" s="19">
        <v>5104</v>
      </c>
      <c r="E50" s="19">
        <v>0.109</v>
      </c>
      <c r="F50" s="19">
        <v>1</v>
      </c>
      <c r="G50" s="19">
        <v>0</v>
      </c>
      <c r="H50" s="19">
        <v>0</v>
      </c>
      <c r="I50">
        <f t="shared" si="0"/>
        <v>579334.39170000004</v>
      </c>
      <c r="J50" s="5">
        <f t="shared" si="1"/>
        <v>43477.348299999954</v>
      </c>
    </row>
    <row r="51" spans="1:10">
      <c r="A51" s="19" t="s">
        <v>34</v>
      </c>
      <c r="B51" s="18">
        <v>603297.56999999995</v>
      </c>
      <c r="C51" s="18">
        <v>49710.29</v>
      </c>
      <c r="D51" s="19">
        <v>5559</v>
      </c>
      <c r="E51" s="19">
        <v>0.218</v>
      </c>
      <c r="F51" s="19">
        <v>1</v>
      </c>
      <c r="G51" s="19">
        <v>0</v>
      </c>
      <c r="H51" s="19">
        <v>0</v>
      </c>
      <c r="I51">
        <f t="shared" si="0"/>
        <v>615262.82059999998</v>
      </c>
      <c r="J51" s="5">
        <f t="shared" si="1"/>
        <v>-11965.250600000028</v>
      </c>
    </row>
    <row r="52" spans="1:10">
      <c r="A52" s="19" t="s">
        <v>34</v>
      </c>
      <c r="B52" s="18">
        <v>625672.86</v>
      </c>
      <c r="C52" s="18">
        <v>48287.85</v>
      </c>
      <c r="D52" s="19">
        <v>5150</v>
      </c>
      <c r="E52" s="19">
        <v>8.0000000000000002E-3</v>
      </c>
      <c r="F52" s="19">
        <v>1</v>
      </c>
      <c r="G52" s="19">
        <v>0</v>
      </c>
      <c r="H52" s="19">
        <v>0</v>
      </c>
      <c r="I52">
        <f t="shared" si="0"/>
        <v>598058.06040000007</v>
      </c>
      <c r="J52" s="5">
        <f t="shared" si="1"/>
        <v>27614.799599999911</v>
      </c>
    </row>
    <row r="53" spans="1:10">
      <c r="A53" s="19" t="s">
        <v>34</v>
      </c>
      <c r="B53" s="18">
        <v>773815.14</v>
      </c>
      <c r="C53" s="18">
        <v>65312.49</v>
      </c>
      <c r="D53" s="19">
        <v>7189</v>
      </c>
      <c r="E53" s="19">
        <v>0.05</v>
      </c>
      <c r="F53" s="19">
        <v>1</v>
      </c>
      <c r="G53" s="19">
        <v>0</v>
      </c>
      <c r="H53" s="19">
        <v>0</v>
      </c>
      <c r="I53">
        <f t="shared" si="0"/>
        <v>797541.46620000002</v>
      </c>
      <c r="J53" s="5">
        <f t="shared" si="1"/>
        <v>-23726.32620000001</v>
      </c>
    </row>
    <row r="54" spans="1:10">
      <c r="A54" s="19" t="s">
        <v>35</v>
      </c>
      <c r="B54" s="18">
        <v>463534.25</v>
      </c>
      <c r="C54" s="18">
        <v>53015.46</v>
      </c>
      <c r="D54" s="19">
        <v>3279</v>
      </c>
      <c r="E54" s="19">
        <v>8.6999999999999994E-2</v>
      </c>
      <c r="F54" s="19">
        <v>0</v>
      </c>
      <c r="G54" s="19">
        <v>1</v>
      </c>
      <c r="H54" s="19">
        <v>0</v>
      </c>
      <c r="I54">
        <f t="shared" si="0"/>
        <v>612550.17590000003</v>
      </c>
      <c r="J54" s="5">
        <f t="shared" si="1"/>
        <v>-149015.92590000003</v>
      </c>
    </row>
    <row r="55" spans="1:10">
      <c r="A55" s="19" t="s">
        <v>35</v>
      </c>
      <c r="B55" s="18">
        <v>746677.75</v>
      </c>
      <c r="C55" s="18">
        <v>99874.01</v>
      </c>
      <c r="D55" s="19">
        <v>5887</v>
      </c>
      <c r="E55" s="19">
        <v>0.26200000000000001</v>
      </c>
      <c r="F55" s="19">
        <v>0</v>
      </c>
      <c r="G55" s="19">
        <v>1</v>
      </c>
      <c r="H55" s="19">
        <v>0</v>
      </c>
      <c r="I55">
        <f t="shared" si="0"/>
        <v>1113642.3573999999</v>
      </c>
      <c r="J55" s="5">
        <f t="shared" si="1"/>
        <v>-366964.60739999986</v>
      </c>
    </row>
    <row r="56" spans="1:10">
      <c r="A56" s="19" t="s">
        <v>35</v>
      </c>
      <c r="B56" s="18">
        <v>720852.5</v>
      </c>
      <c r="C56" s="18">
        <v>81195.5</v>
      </c>
      <c r="D56" s="19">
        <v>5516</v>
      </c>
      <c r="E56" s="19">
        <v>0.106</v>
      </c>
      <c r="F56" s="19">
        <v>0</v>
      </c>
      <c r="G56" s="19">
        <v>1</v>
      </c>
      <c r="H56" s="19">
        <v>0</v>
      </c>
      <c r="I56">
        <f t="shared" si="0"/>
        <v>925705.99179999996</v>
      </c>
      <c r="J56" s="5">
        <f t="shared" si="1"/>
        <v>-204853.49179999996</v>
      </c>
    </row>
    <row r="57" spans="1:10">
      <c r="A57" s="19" t="s">
        <v>35</v>
      </c>
      <c r="B57" s="18">
        <v>487464.91</v>
      </c>
      <c r="C57" s="18">
        <v>27808.6</v>
      </c>
      <c r="D57" s="19">
        <v>2863</v>
      </c>
      <c r="E57" s="19">
        <v>0.08</v>
      </c>
      <c r="F57" s="19">
        <v>0</v>
      </c>
      <c r="G57" s="19">
        <v>1</v>
      </c>
      <c r="H57" s="19">
        <v>0</v>
      </c>
      <c r="I57">
        <f t="shared" si="0"/>
        <v>357100.30200000003</v>
      </c>
      <c r="J57" s="5">
        <f t="shared" si="1"/>
        <v>130364.60799999995</v>
      </c>
    </row>
    <row r="58" spans="1:10">
      <c r="A58" s="19" t="s">
        <v>36</v>
      </c>
      <c r="B58" s="18">
        <v>518049.26</v>
      </c>
      <c r="C58" s="18">
        <v>19365.060000000001</v>
      </c>
      <c r="D58" s="19">
        <v>2378</v>
      </c>
      <c r="E58" s="19">
        <v>0</v>
      </c>
      <c r="F58" s="19">
        <v>0</v>
      </c>
      <c r="G58" s="19">
        <v>0</v>
      </c>
      <c r="H58" s="19">
        <v>1</v>
      </c>
      <c r="I58">
        <f t="shared" si="0"/>
        <v>287033.68280000007</v>
      </c>
      <c r="J58" s="5">
        <f t="shared" si="1"/>
        <v>231015.57719999994</v>
      </c>
    </row>
    <row r="59" spans="1:10">
      <c r="A59" s="19" t="s">
        <v>36</v>
      </c>
      <c r="B59" s="18">
        <v>500298.48</v>
      </c>
      <c r="C59" s="18">
        <v>59405.68</v>
      </c>
      <c r="D59" s="19">
        <v>2515</v>
      </c>
      <c r="E59" s="19">
        <v>3.9E-2</v>
      </c>
      <c r="F59" s="19">
        <v>0</v>
      </c>
      <c r="G59" s="19">
        <v>0</v>
      </c>
      <c r="H59" s="19">
        <v>1</v>
      </c>
      <c r="I59">
        <f t="shared" si="0"/>
        <v>684176.13509999996</v>
      </c>
      <c r="J59" s="5">
        <f t="shared" si="1"/>
        <v>-183877.65509999997</v>
      </c>
    </row>
    <row r="60" spans="1:10">
      <c r="A60" s="19" t="s">
        <v>36</v>
      </c>
      <c r="B60" s="18">
        <v>617291.15</v>
      </c>
      <c r="C60" s="18">
        <v>118910.48</v>
      </c>
      <c r="D60" s="19">
        <v>4022</v>
      </c>
      <c r="E60" s="19">
        <v>0.13700000000000001</v>
      </c>
      <c r="F60" s="19">
        <v>0</v>
      </c>
      <c r="G60" s="19">
        <v>0</v>
      </c>
      <c r="H60" s="19">
        <v>1</v>
      </c>
      <c r="I60">
        <f t="shared" si="0"/>
        <v>1294164.6985000004</v>
      </c>
      <c r="J60" s="5">
        <f t="shared" si="1"/>
        <v>-676873.54850000038</v>
      </c>
    </row>
    <row r="61" spans="1:10">
      <c r="A61" s="19" t="s">
        <v>36</v>
      </c>
      <c r="B61" s="18">
        <v>553756.43000000005</v>
      </c>
      <c r="C61" s="18">
        <v>52952.12</v>
      </c>
      <c r="D61" s="19">
        <v>4377</v>
      </c>
      <c r="E61" s="19">
        <v>9.1999999999999998E-2</v>
      </c>
      <c r="F61" s="19">
        <v>0</v>
      </c>
      <c r="G61" s="19">
        <v>0</v>
      </c>
      <c r="H61" s="19">
        <v>1</v>
      </c>
      <c r="I61">
        <f t="shared" si="0"/>
        <v>648752.66320000007</v>
      </c>
      <c r="J61" s="5">
        <f t="shared" si="1"/>
        <v>-94996.233200000017</v>
      </c>
    </row>
    <row r="62" spans="1:10">
      <c r="A62" s="19" t="s">
        <v>37</v>
      </c>
      <c r="B62" s="18">
        <v>749559.71</v>
      </c>
      <c r="C62" s="18">
        <v>74907.98</v>
      </c>
      <c r="D62" s="19">
        <v>5306</v>
      </c>
      <c r="E62" s="19">
        <v>6.2E-2</v>
      </c>
      <c r="F62" s="19">
        <v>0</v>
      </c>
      <c r="G62" s="19">
        <v>1</v>
      </c>
      <c r="H62" s="19">
        <v>0</v>
      </c>
      <c r="I62">
        <f t="shared" si="0"/>
        <v>860978.46099999989</v>
      </c>
      <c r="J62" s="5">
        <f t="shared" si="1"/>
        <v>-111418.75099999993</v>
      </c>
    </row>
    <row r="63" spans="1:10">
      <c r="A63" s="19" t="s">
        <v>37</v>
      </c>
      <c r="B63" s="18">
        <v>615966.48</v>
      </c>
      <c r="C63" s="18">
        <v>37284.660000000003</v>
      </c>
      <c r="D63" s="19">
        <v>3928</v>
      </c>
      <c r="E63" s="19">
        <v>7.3999999999999996E-2</v>
      </c>
      <c r="F63" s="19">
        <v>0</v>
      </c>
      <c r="G63" s="19">
        <v>1</v>
      </c>
      <c r="H63" s="19">
        <v>0</v>
      </c>
      <c r="I63">
        <f t="shared" si="0"/>
        <v>467494.64300000004</v>
      </c>
      <c r="J63" s="5">
        <f t="shared" si="1"/>
        <v>148471.83699999994</v>
      </c>
    </row>
    <row r="64" spans="1:10">
      <c r="A64" s="19" t="s">
        <v>37</v>
      </c>
      <c r="B64" s="18">
        <v>572011.19999999995</v>
      </c>
      <c r="C64" s="18">
        <v>50343.19</v>
      </c>
      <c r="D64" s="19">
        <v>3845</v>
      </c>
      <c r="E64" s="19">
        <v>0.113</v>
      </c>
      <c r="F64" s="19">
        <v>0</v>
      </c>
      <c r="G64" s="19">
        <v>1</v>
      </c>
      <c r="H64" s="19">
        <v>0</v>
      </c>
      <c r="I64">
        <f t="shared" si="0"/>
        <v>594608.84609999997</v>
      </c>
      <c r="J64" s="5">
        <f t="shared" si="1"/>
        <v>-22597.646100000013</v>
      </c>
    </row>
    <row r="65" spans="1:10">
      <c r="A65" s="19" t="s">
        <v>37</v>
      </c>
      <c r="B65" s="18">
        <v>761860.19</v>
      </c>
      <c r="C65" s="18">
        <v>74954.47</v>
      </c>
      <c r="D65" s="19">
        <v>6620</v>
      </c>
      <c r="E65" s="19">
        <v>5.3999999999999999E-2</v>
      </c>
      <c r="F65" s="19">
        <v>0</v>
      </c>
      <c r="G65" s="19">
        <v>1</v>
      </c>
      <c r="H65" s="19">
        <v>0</v>
      </c>
      <c r="I65">
        <f t="shared" si="0"/>
        <v>882138.97979999997</v>
      </c>
      <c r="J65" s="5">
        <f t="shared" si="1"/>
        <v>-120278.78980000003</v>
      </c>
    </row>
    <row r="66" spans="1:10">
      <c r="A66" s="19" t="s">
        <v>38</v>
      </c>
      <c r="B66" s="18">
        <v>784502.68</v>
      </c>
      <c r="C66" s="18">
        <v>70040.31</v>
      </c>
      <c r="D66" s="19">
        <v>9175</v>
      </c>
      <c r="E66" s="19">
        <v>0.107</v>
      </c>
      <c r="F66" s="19">
        <v>0</v>
      </c>
      <c r="G66" s="19">
        <v>1</v>
      </c>
      <c r="H66" s="19">
        <v>0</v>
      </c>
      <c r="I66">
        <f t="shared" si="0"/>
        <v>872777.15989999997</v>
      </c>
      <c r="J66" s="5">
        <f t="shared" si="1"/>
        <v>-88274.479899999918</v>
      </c>
    </row>
    <row r="67" spans="1:10">
      <c r="A67" s="19" t="s">
        <v>38</v>
      </c>
      <c r="B67" s="18">
        <v>717141.55</v>
      </c>
      <c r="C67" s="18">
        <v>51148.69</v>
      </c>
      <c r="D67" s="19">
        <v>7940</v>
      </c>
      <c r="E67" s="19">
        <v>0.156</v>
      </c>
      <c r="F67" s="19">
        <v>0</v>
      </c>
      <c r="G67" s="19">
        <v>1</v>
      </c>
      <c r="H67" s="19">
        <v>0</v>
      </c>
      <c r="I67">
        <f t="shared" ref="I67:I130" si="2">39818.07 + (9.88 * C67) + (15.66 * D67) - (15494.7 * E67) + (630.99 * F67) - (1061.74 * G67) + (18649.34 * H67)</f>
        <v>666028.61400000006</v>
      </c>
      <c r="J67" s="5">
        <f t="shared" ref="J67:J130" si="3">B67 - I67</f>
        <v>51112.935999999987</v>
      </c>
    </row>
    <row r="68" spans="1:10">
      <c r="A68" s="19" t="s">
        <v>38</v>
      </c>
      <c r="B68" s="18">
        <v>685379.08</v>
      </c>
      <c r="C68" s="18">
        <v>79346.100000000006</v>
      </c>
      <c r="D68" s="19">
        <v>9628</v>
      </c>
      <c r="E68" s="19">
        <v>0.10199999999999999</v>
      </c>
      <c r="F68" s="19">
        <v>0</v>
      </c>
      <c r="G68" s="19">
        <v>1</v>
      </c>
      <c r="H68" s="19">
        <v>0</v>
      </c>
      <c r="I68">
        <f t="shared" si="2"/>
        <v>971889.8186</v>
      </c>
      <c r="J68" s="5">
        <f t="shared" si="3"/>
        <v>-286510.73860000004</v>
      </c>
    </row>
    <row r="69" spans="1:10">
      <c r="A69" s="19" t="s">
        <v>38</v>
      </c>
      <c r="B69" s="18">
        <v>740496.65</v>
      </c>
      <c r="C69" s="18">
        <v>42018.400000000001</v>
      </c>
      <c r="D69" s="19">
        <v>8296</v>
      </c>
      <c r="E69" s="19">
        <v>0.115</v>
      </c>
      <c r="F69" s="19">
        <v>0</v>
      </c>
      <c r="G69" s="19">
        <v>1</v>
      </c>
      <c r="H69" s="19">
        <v>0</v>
      </c>
      <c r="I69">
        <f t="shared" si="2"/>
        <v>582031.5915000001</v>
      </c>
      <c r="J69" s="5">
        <f t="shared" si="3"/>
        <v>158465.05849999993</v>
      </c>
    </row>
    <row r="70" spans="1:10">
      <c r="A70" s="19" t="s">
        <v>39</v>
      </c>
      <c r="B70" s="18">
        <v>661927.14</v>
      </c>
      <c r="C70" s="18">
        <v>70937.240000000005</v>
      </c>
      <c r="D70" s="19">
        <v>3595</v>
      </c>
      <c r="E70" s="19">
        <v>0.14099999999999999</v>
      </c>
      <c r="F70" s="19">
        <v>0</v>
      </c>
      <c r="G70" s="19">
        <v>1</v>
      </c>
      <c r="H70" s="19">
        <v>0</v>
      </c>
      <c r="I70">
        <f t="shared" si="2"/>
        <v>793729.20850000007</v>
      </c>
      <c r="J70" s="5">
        <f t="shared" si="3"/>
        <v>-131802.06850000005</v>
      </c>
    </row>
    <row r="71" spans="1:10">
      <c r="A71" s="19" t="s">
        <v>39</v>
      </c>
      <c r="B71" s="18">
        <v>479050.5</v>
      </c>
      <c r="C71" s="18">
        <v>36813.449999999997</v>
      </c>
      <c r="D71" s="19">
        <v>2834</v>
      </c>
      <c r="E71" s="19">
        <v>0.191</v>
      </c>
      <c r="F71" s="19">
        <v>0</v>
      </c>
      <c r="G71" s="19">
        <v>1</v>
      </c>
      <c r="H71" s="19">
        <v>0</v>
      </c>
      <c r="I71">
        <f t="shared" si="2"/>
        <v>443894.16830000002</v>
      </c>
      <c r="J71" s="5">
        <f t="shared" si="3"/>
        <v>35156.331699999981</v>
      </c>
    </row>
    <row r="72" spans="1:10">
      <c r="A72" s="19" t="s">
        <v>39</v>
      </c>
      <c r="B72" s="18">
        <v>605023.87</v>
      </c>
      <c r="C72" s="18">
        <v>60571.82</v>
      </c>
      <c r="D72" s="19">
        <v>3193</v>
      </c>
      <c r="E72" s="19">
        <v>0.19700000000000001</v>
      </c>
      <c r="F72" s="19">
        <v>0</v>
      </c>
      <c r="G72" s="19">
        <v>1</v>
      </c>
      <c r="H72" s="19">
        <v>0</v>
      </c>
      <c r="I72">
        <f t="shared" si="2"/>
        <v>684155.83570000005</v>
      </c>
      <c r="J72" s="5">
        <f t="shared" si="3"/>
        <v>-79131.965700000059</v>
      </c>
    </row>
    <row r="73" spans="1:10">
      <c r="A73" s="19" t="s">
        <v>39</v>
      </c>
      <c r="B73" s="18">
        <v>674774.09</v>
      </c>
      <c r="C73" s="18">
        <v>55081.16</v>
      </c>
      <c r="D73" s="19">
        <v>5485</v>
      </c>
      <c r="E73" s="19">
        <v>3.5999999999999997E-2</v>
      </c>
      <c r="F73" s="19">
        <v>0</v>
      </c>
      <c r="G73" s="19">
        <v>1</v>
      </c>
      <c r="H73" s="19">
        <v>0</v>
      </c>
      <c r="I73">
        <f t="shared" si="2"/>
        <v>668295.48159999994</v>
      </c>
      <c r="J73" s="5">
        <f t="shared" si="3"/>
        <v>6478.6084000000264</v>
      </c>
    </row>
    <row r="74" spans="1:10">
      <c r="A74" s="19" t="s">
        <v>40</v>
      </c>
      <c r="B74" s="18">
        <v>616069.41</v>
      </c>
      <c r="C74" s="18">
        <v>46201.46</v>
      </c>
      <c r="D74" s="19">
        <v>5918</v>
      </c>
      <c r="E74" s="19">
        <v>0.27700000000000002</v>
      </c>
      <c r="F74" s="19">
        <v>0</v>
      </c>
      <c r="G74" s="19">
        <v>0</v>
      </c>
      <c r="H74" s="19">
        <v>0</v>
      </c>
      <c r="I74">
        <f t="shared" si="2"/>
        <v>584672.34290000016</v>
      </c>
      <c r="J74" s="5">
        <f t="shared" si="3"/>
        <v>31397.067099999869</v>
      </c>
    </row>
    <row r="75" spans="1:10">
      <c r="A75" s="19" t="s">
        <v>40</v>
      </c>
      <c r="B75" s="18">
        <v>630829.93999999994</v>
      </c>
      <c r="C75" s="18">
        <v>53762.92</v>
      </c>
      <c r="D75" s="19">
        <v>6821</v>
      </c>
      <c r="E75" s="19">
        <v>6.6000000000000003E-2</v>
      </c>
      <c r="F75" s="19">
        <v>0</v>
      </c>
      <c r="G75" s="19">
        <v>0</v>
      </c>
      <c r="H75" s="19">
        <v>0</v>
      </c>
      <c r="I75">
        <f t="shared" si="2"/>
        <v>676789.92939999991</v>
      </c>
      <c r="J75" s="5">
        <f t="shared" si="3"/>
        <v>-45959.989399999962</v>
      </c>
    </row>
    <row r="76" spans="1:10">
      <c r="A76" s="19" t="s">
        <v>40</v>
      </c>
      <c r="B76" s="18">
        <v>788087.68</v>
      </c>
      <c r="C76" s="18">
        <v>70144.78</v>
      </c>
      <c r="D76" s="19">
        <v>6806</v>
      </c>
      <c r="E76" s="19">
        <v>0.17799999999999999</v>
      </c>
      <c r="F76" s="19">
        <v>0</v>
      </c>
      <c r="G76" s="19">
        <v>0</v>
      </c>
      <c r="H76" s="19">
        <v>0</v>
      </c>
      <c r="I76">
        <f t="shared" si="2"/>
        <v>836672.3997999999</v>
      </c>
      <c r="J76" s="5">
        <f t="shared" si="3"/>
        <v>-48584.719799999846</v>
      </c>
    </row>
    <row r="77" spans="1:10">
      <c r="A77" s="19" t="s">
        <v>40</v>
      </c>
      <c r="B77" s="18">
        <v>680840.36</v>
      </c>
      <c r="C77" s="18">
        <v>58749.63</v>
      </c>
      <c r="D77" s="19">
        <v>8252</v>
      </c>
      <c r="E77" s="19">
        <v>0.20300000000000001</v>
      </c>
      <c r="F77" s="19">
        <v>0</v>
      </c>
      <c r="G77" s="19">
        <v>0</v>
      </c>
      <c r="H77" s="19">
        <v>0</v>
      </c>
      <c r="I77">
        <f t="shared" si="2"/>
        <v>746345.31030000001</v>
      </c>
      <c r="J77" s="5">
        <f t="shared" si="3"/>
        <v>-65504.950300000026</v>
      </c>
    </row>
    <row r="78" spans="1:10">
      <c r="A78" s="19" t="s">
        <v>41</v>
      </c>
      <c r="B78" s="18">
        <v>643657.47</v>
      </c>
      <c r="C78" s="18">
        <v>56973.18</v>
      </c>
      <c r="D78" s="19">
        <v>6662</v>
      </c>
      <c r="E78" s="19">
        <v>0.1</v>
      </c>
      <c r="F78" s="19">
        <v>0</v>
      </c>
      <c r="G78" s="19">
        <v>1</v>
      </c>
      <c r="H78" s="19">
        <v>0</v>
      </c>
      <c r="I78">
        <f t="shared" si="2"/>
        <v>704428.79840000009</v>
      </c>
      <c r="J78" s="5">
        <f t="shared" si="3"/>
        <v>-60771.328400000115</v>
      </c>
    </row>
    <row r="79" spans="1:10">
      <c r="A79" s="19" t="s">
        <v>41</v>
      </c>
      <c r="B79" s="18">
        <v>691112.6</v>
      </c>
      <c r="C79" s="18">
        <v>54872.82</v>
      </c>
      <c r="D79" s="19">
        <v>5962</v>
      </c>
      <c r="E79" s="19">
        <v>6.4000000000000001E-2</v>
      </c>
      <c r="F79" s="19">
        <v>0</v>
      </c>
      <c r="G79" s="19">
        <v>1</v>
      </c>
      <c r="H79" s="19">
        <v>0</v>
      </c>
      <c r="I79">
        <f t="shared" si="2"/>
        <v>673273.05080000008</v>
      </c>
      <c r="J79" s="5">
        <f t="shared" si="3"/>
        <v>17839.549199999892</v>
      </c>
    </row>
    <row r="80" spans="1:10">
      <c r="A80" s="19" t="s">
        <v>41</v>
      </c>
      <c r="B80" s="18">
        <v>776922.17</v>
      </c>
      <c r="C80" s="18">
        <v>80562.81</v>
      </c>
      <c r="D80" s="19">
        <v>7470</v>
      </c>
      <c r="E80" s="19">
        <v>0.17199999999999999</v>
      </c>
      <c r="F80" s="19">
        <v>0</v>
      </c>
      <c r="G80" s="19">
        <v>1</v>
      </c>
      <c r="H80" s="19">
        <v>0</v>
      </c>
      <c r="I80">
        <f t="shared" si="2"/>
        <v>949032.00439999998</v>
      </c>
      <c r="J80" s="5">
        <f t="shared" si="3"/>
        <v>-172109.83439999993</v>
      </c>
    </row>
    <row r="81" spans="1:10">
      <c r="A81" s="19" t="s">
        <v>41</v>
      </c>
      <c r="B81" s="18">
        <v>636561.34</v>
      </c>
      <c r="C81" s="18">
        <v>77999.899999999994</v>
      </c>
      <c r="D81" s="19">
        <v>5974</v>
      </c>
      <c r="E81" s="19">
        <v>0.252</v>
      </c>
      <c r="F81" s="19">
        <v>0</v>
      </c>
      <c r="G81" s="19">
        <v>1</v>
      </c>
      <c r="H81" s="19">
        <v>0</v>
      </c>
      <c r="I81">
        <f t="shared" si="2"/>
        <v>899043.5175999999</v>
      </c>
      <c r="J81" s="5">
        <f t="shared" si="3"/>
        <v>-262482.17759999994</v>
      </c>
    </row>
    <row r="82" spans="1:10">
      <c r="A82" s="19" t="s">
        <v>42</v>
      </c>
      <c r="B82" s="18">
        <v>621369.57999999996</v>
      </c>
      <c r="C82" s="18">
        <v>60881.01</v>
      </c>
      <c r="D82" s="19">
        <v>5410</v>
      </c>
      <c r="E82" s="19">
        <v>0.17899999999999999</v>
      </c>
      <c r="F82" s="19">
        <v>1</v>
      </c>
      <c r="G82" s="19">
        <v>0</v>
      </c>
      <c r="H82" s="19">
        <v>0</v>
      </c>
      <c r="I82">
        <f t="shared" si="2"/>
        <v>723900.48749999993</v>
      </c>
      <c r="J82" s="5">
        <f t="shared" si="3"/>
        <v>-102530.90749999997</v>
      </c>
    </row>
    <row r="83" spans="1:10">
      <c r="A83" s="19" t="s">
        <v>42</v>
      </c>
      <c r="B83" s="18">
        <v>682208.01</v>
      </c>
      <c r="C83" s="18">
        <v>60628.38</v>
      </c>
      <c r="D83" s="19">
        <v>4451</v>
      </c>
      <c r="E83" s="19">
        <v>9.5000000000000001E-2</v>
      </c>
      <c r="F83" s="19">
        <v>1</v>
      </c>
      <c r="G83" s="19">
        <v>0</v>
      </c>
      <c r="H83" s="19">
        <v>0</v>
      </c>
      <c r="I83">
        <f t="shared" si="2"/>
        <v>707688.11789999995</v>
      </c>
      <c r="J83" s="5">
        <f t="shared" si="3"/>
        <v>-25480.107899999944</v>
      </c>
    </row>
    <row r="84" spans="1:10">
      <c r="A84" s="19" t="s">
        <v>42</v>
      </c>
      <c r="B84" s="18">
        <v>727241.86</v>
      </c>
      <c r="C84" s="18">
        <v>72731.14</v>
      </c>
      <c r="D84" s="19">
        <v>4644</v>
      </c>
      <c r="E84" s="19">
        <v>8.4000000000000005E-2</v>
      </c>
      <c r="F84" s="19">
        <v>1</v>
      </c>
      <c r="G84" s="19">
        <v>0</v>
      </c>
      <c r="H84" s="19">
        <v>0</v>
      </c>
      <c r="I84">
        <f t="shared" si="2"/>
        <v>830456.2084</v>
      </c>
      <c r="J84" s="5">
        <f t="shared" si="3"/>
        <v>-103214.34840000002</v>
      </c>
    </row>
    <row r="85" spans="1:10">
      <c r="A85" s="19" t="s">
        <v>42</v>
      </c>
      <c r="B85" s="18">
        <v>569100.78</v>
      </c>
      <c r="C85" s="18">
        <v>36475.71</v>
      </c>
      <c r="D85" s="19">
        <v>3559</v>
      </c>
      <c r="E85" s="19">
        <v>0.03</v>
      </c>
      <c r="F85" s="19">
        <v>1</v>
      </c>
      <c r="G85" s="19">
        <v>0</v>
      </c>
      <c r="H85" s="19">
        <v>0</v>
      </c>
      <c r="I85">
        <f t="shared" si="2"/>
        <v>456098.17379999999</v>
      </c>
      <c r="J85" s="5">
        <f t="shared" si="3"/>
        <v>113002.60620000004</v>
      </c>
    </row>
    <row r="86" spans="1:10">
      <c r="A86" s="19" t="s">
        <v>43</v>
      </c>
      <c r="B86" s="18">
        <v>574436.29</v>
      </c>
      <c r="C86" s="18">
        <v>55388.11</v>
      </c>
      <c r="D86" s="19">
        <v>3091</v>
      </c>
      <c r="E86" s="19">
        <v>0.108</v>
      </c>
      <c r="F86" s="19">
        <v>0</v>
      </c>
      <c r="G86" s="19">
        <v>1</v>
      </c>
      <c r="H86" s="19">
        <v>0</v>
      </c>
      <c r="I86">
        <f t="shared" si="2"/>
        <v>632722.48919999995</v>
      </c>
      <c r="J86" s="5">
        <f t="shared" si="3"/>
        <v>-58286.199199999915</v>
      </c>
    </row>
    <row r="87" spans="1:10">
      <c r="A87" s="19" t="s">
        <v>43</v>
      </c>
      <c r="B87" s="18">
        <v>611766.72</v>
      </c>
      <c r="C87" s="18">
        <v>88443.77</v>
      </c>
      <c r="D87" s="19">
        <v>4004</v>
      </c>
      <c r="E87" s="19">
        <v>0.20599999999999999</v>
      </c>
      <c r="F87" s="19">
        <v>0</v>
      </c>
      <c r="G87" s="19">
        <v>1</v>
      </c>
      <c r="H87" s="19">
        <v>0</v>
      </c>
      <c r="I87">
        <f t="shared" si="2"/>
        <v>972091.5094000001</v>
      </c>
      <c r="J87" s="5">
        <f t="shared" si="3"/>
        <v>-360324.78940000013</v>
      </c>
    </row>
    <row r="88" spans="1:10">
      <c r="A88" s="19" t="s">
        <v>43</v>
      </c>
      <c r="B88" s="18">
        <v>614596.31999999995</v>
      </c>
      <c r="C88" s="18">
        <v>78231.91</v>
      </c>
      <c r="D88" s="19">
        <v>3788</v>
      </c>
      <c r="E88" s="19">
        <v>5.8999999999999997E-2</v>
      </c>
      <c r="F88" s="19">
        <v>0</v>
      </c>
      <c r="G88" s="19">
        <v>1</v>
      </c>
      <c r="H88" s="19">
        <v>0</v>
      </c>
      <c r="I88">
        <f t="shared" si="2"/>
        <v>870093.49349999998</v>
      </c>
      <c r="J88" s="5">
        <f t="shared" si="3"/>
        <v>-255497.17350000003</v>
      </c>
    </row>
    <row r="89" spans="1:10">
      <c r="A89" s="19" t="s">
        <v>43</v>
      </c>
      <c r="B89" s="18">
        <v>450711.92</v>
      </c>
      <c r="C89" s="18">
        <v>18996.32</v>
      </c>
      <c r="D89" s="19">
        <v>1260</v>
      </c>
      <c r="E89" s="19">
        <v>0.14499999999999999</v>
      </c>
      <c r="F89" s="19">
        <v>0</v>
      </c>
      <c r="G89" s="19">
        <v>1</v>
      </c>
      <c r="H89" s="19">
        <v>0</v>
      </c>
      <c r="I89">
        <f t="shared" si="2"/>
        <v>243924.84010000003</v>
      </c>
      <c r="J89" s="5">
        <f t="shared" si="3"/>
        <v>206787.07989999995</v>
      </c>
    </row>
    <row r="90" spans="1:10">
      <c r="A90" s="19" t="s">
        <v>44</v>
      </c>
      <c r="B90" s="18">
        <v>711213.46</v>
      </c>
      <c r="C90" s="18">
        <v>50517.94</v>
      </c>
      <c r="D90" s="19">
        <v>7024</v>
      </c>
      <c r="E90" s="19">
        <v>2.9000000000000001E-2</v>
      </c>
      <c r="F90" s="19">
        <v>1</v>
      </c>
      <c r="G90" s="19">
        <v>0</v>
      </c>
      <c r="H90" s="19">
        <v>0</v>
      </c>
      <c r="I90">
        <f t="shared" si="2"/>
        <v>649112.80090000003</v>
      </c>
      <c r="J90" s="5">
        <f t="shared" si="3"/>
        <v>62100.659099999932</v>
      </c>
    </row>
    <row r="91" spans="1:10">
      <c r="A91" s="19" t="s">
        <v>44</v>
      </c>
      <c r="B91" s="18">
        <v>627171.9</v>
      </c>
      <c r="C91" s="18">
        <v>141540.29</v>
      </c>
      <c r="D91" s="19">
        <v>5400</v>
      </c>
      <c r="E91" s="19">
        <v>1.2999999999999999E-2</v>
      </c>
      <c r="F91" s="19">
        <v>1</v>
      </c>
      <c r="G91" s="19">
        <v>0</v>
      </c>
      <c r="H91" s="19">
        <v>0</v>
      </c>
      <c r="I91">
        <f t="shared" si="2"/>
        <v>1523229.6941000004</v>
      </c>
      <c r="J91" s="5">
        <f t="shared" si="3"/>
        <v>-896057.79410000041</v>
      </c>
    </row>
    <row r="92" spans="1:10">
      <c r="A92" s="19" t="s">
        <v>44</v>
      </c>
      <c r="B92" s="18">
        <v>739852.58</v>
      </c>
      <c r="C92" s="18">
        <v>82116.19</v>
      </c>
      <c r="D92" s="19">
        <v>5988</v>
      </c>
      <c r="E92" s="19">
        <v>0.04</v>
      </c>
      <c r="F92" s="19">
        <v>1</v>
      </c>
      <c r="G92" s="19">
        <v>0</v>
      </c>
      <c r="H92" s="19">
        <v>0</v>
      </c>
      <c r="I92">
        <f t="shared" si="2"/>
        <v>944909.30920000002</v>
      </c>
      <c r="J92" s="5">
        <f t="shared" si="3"/>
        <v>-205056.72920000006</v>
      </c>
    </row>
    <row r="93" spans="1:10">
      <c r="A93" s="19" t="s">
        <v>44</v>
      </c>
      <c r="B93" s="18">
        <v>586307.22</v>
      </c>
      <c r="C93" s="18">
        <v>31207.51</v>
      </c>
      <c r="D93" s="19">
        <v>3701</v>
      </c>
      <c r="E93" s="19">
        <v>4.2999999999999997E-2</v>
      </c>
      <c r="F93" s="19">
        <v>1</v>
      </c>
      <c r="G93" s="19">
        <v>0</v>
      </c>
      <c r="H93" s="19">
        <v>0</v>
      </c>
      <c r="I93">
        <f t="shared" si="2"/>
        <v>406070.64669999998</v>
      </c>
      <c r="J93" s="5">
        <f t="shared" si="3"/>
        <v>180236.57329999999</v>
      </c>
    </row>
    <row r="94" spans="1:10">
      <c r="A94" s="19" t="s">
        <v>45</v>
      </c>
      <c r="B94" s="18">
        <v>585937.48</v>
      </c>
      <c r="C94" s="18">
        <v>38966.589999999997</v>
      </c>
      <c r="D94" s="19">
        <v>4509</v>
      </c>
      <c r="E94" s="19">
        <v>0.19400000000000001</v>
      </c>
      <c r="F94" s="19">
        <v>0</v>
      </c>
      <c r="G94" s="19">
        <v>0</v>
      </c>
      <c r="H94" s="19">
        <v>0</v>
      </c>
      <c r="I94">
        <f t="shared" si="2"/>
        <v>492412.9474</v>
      </c>
      <c r="J94" s="5">
        <f t="shared" si="3"/>
        <v>93524.532599999977</v>
      </c>
    </row>
    <row r="95" spans="1:10">
      <c r="A95" s="19" t="s">
        <v>45</v>
      </c>
      <c r="B95" s="18">
        <v>753473.55</v>
      </c>
      <c r="C95" s="18">
        <v>67439.3</v>
      </c>
      <c r="D95" s="19">
        <v>6477</v>
      </c>
      <c r="E95" s="19">
        <v>0</v>
      </c>
      <c r="F95" s="19">
        <v>0</v>
      </c>
      <c r="G95" s="19">
        <v>0</v>
      </c>
      <c r="H95" s="19">
        <v>0</v>
      </c>
      <c r="I95">
        <f t="shared" si="2"/>
        <v>807548.17400000012</v>
      </c>
      <c r="J95" s="5">
        <f t="shared" si="3"/>
        <v>-54074.624000000069</v>
      </c>
    </row>
    <row r="96" spans="1:10">
      <c r="A96" s="19" t="s">
        <v>45</v>
      </c>
      <c r="B96" s="18">
        <v>838250.32</v>
      </c>
      <c r="C96" s="18">
        <v>86421.88</v>
      </c>
      <c r="D96" s="19">
        <v>7970</v>
      </c>
      <c r="E96" s="19">
        <v>7.2999999999999995E-2</v>
      </c>
      <c r="F96" s="19">
        <v>0</v>
      </c>
      <c r="G96" s="19">
        <v>0</v>
      </c>
      <c r="H96" s="19">
        <v>0</v>
      </c>
      <c r="I96">
        <f t="shared" si="2"/>
        <v>1017345.3313000001</v>
      </c>
      <c r="J96" s="5">
        <f t="shared" si="3"/>
        <v>-179095.01130000013</v>
      </c>
    </row>
    <row r="97" spans="1:10">
      <c r="A97" s="19" t="s">
        <v>45</v>
      </c>
      <c r="B97" s="18">
        <v>607898.12</v>
      </c>
      <c r="C97" s="18">
        <v>9534.65</v>
      </c>
      <c r="D97" s="19">
        <v>6057</v>
      </c>
      <c r="E97" s="19">
        <v>7.3999999999999996E-2</v>
      </c>
      <c r="F97" s="19">
        <v>0</v>
      </c>
      <c r="G97" s="19">
        <v>0</v>
      </c>
      <c r="H97" s="19">
        <v>0</v>
      </c>
      <c r="I97">
        <f t="shared" si="2"/>
        <v>227726.42420000001</v>
      </c>
      <c r="J97" s="5">
        <f t="shared" si="3"/>
        <v>380171.69579999999</v>
      </c>
    </row>
    <row r="98" spans="1:10">
      <c r="A98" s="19" t="s">
        <v>46</v>
      </c>
      <c r="B98" s="18">
        <v>691113.62</v>
      </c>
      <c r="C98" s="18">
        <v>61132.07</v>
      </c>
      <c r="D98" s="19">
        <v>6394</v>
      </c>
      <c r="E98" s="19">
        <v>0.16300000000000001</v>
      </c>
      <c r="F98" s="19">
        <v>1</v>
      </c>
      <c r="G98" s="19">
        <v>0</v>
      </c>
      <c r="H98" s="19">
        <v>0</v>
      </c>
      <c r="I98">
        <f t="shared" si="2"/>
        <v>742038.31550000003</v>
      </c>
      <c r="J98" s="5">
        <f t="shared" si="3"/>
        <v>-50924.695500000031</v>
      </c>
    </row>
    <row r="99" spans="1:10">
      <c r="A99" s="19" t="s">
        <v>46</v>
      </c>
      <c r="B99" s="18">
        <v>735509.4</v>
      </c>
      <c r="C99" s="18">
        <v>78839.39</v>
      </c>
      <c r="D99" s="19">
        <v>5150</v>
      </c>
      <c r="E99" s="19">
        <v>0.17100000000000001</v>
      </c>
      <c r="F99" s="19">
        <v>1</v>
      </c>
      <c r="G99" s="19">
        <v>0</v>
      </c>
      <c r="H99" s="19">
        <v>0</v>
      </c>
      <c r="I99">
        <f t="shared" si="2"/>
        <v>897381.63950000005</v>
      </c>
      <c r="J99" s="5">
        <f t="shared" si="3"/>
        <v>-161872.23950000003</v>
      </c>
    </row>
    <row r="100" spans="1:10">
      <c r="A100" s="19" t="s">
        <v>46</v>
      </c>
      <c r="B100" s="18">
        <v>605775.32999999996</v>
      </c>
      <c r="C100" s="18">
        <v>38752.800000000003</v>
      </c>
      <c r="D100" s="19">
        <v>4712</v>
      </c>
      <c r="E100" s="19">
        <v>7.4999999999999997E-2</v>
      </c>
      <c r="F100" s="19">
        <v>1</v>
      </c>
      <c r="G100" s="19">
        <v>0</v>
      </c>
      <c r="H100" s="19">
        <v>0</v>
      </c>
      <c r="I100">
        <f t="shared" si="2"/>
        <v>495954.54150000005</v>
      </c>
      <c r="J100" s="5">
        <f t="shared" si="3"/>
        <v>109820.78849999991</v>
      </c>
    </row>
    <row r="101" spans="1:10">
      <c r="A101" s="19" t="s">
        <v>46</v>
      </c>
      <c r="B101" s="18">
        <v>675177.68</v>
      </c>
      <c r="C101" s="18">
        <v>55101.1</v>
      </c>
      <c r="D101" s="19">
        <v>5281</v>
      </c>
      <c r="E101" s="19">
        <v>0.189</v>
      </c>
      <c r="F101" s="19">
        <v>1</v>
      </c>
      <c r="G101" s="19">
        <v>0</v>
      </c>
      <c r="H101" s="19">
        <v>0</v>
      </c>
      <c r="I101">
        <f t="shared" si="2"/>
        <v>664619.88969999994</v>
      </c>
      <c r="J101" s="5">
        <f t="shared" si="3"/>
        <v>10557.79030000011</v>
      </c>
    </row>
    <row r="102" spans="1:10">
      <c r="A102" s="19" t="s">
        <v>47</v>
      </c>
      <c r="B102" s="18">
        <v>635181.35</v>
      </c>
      <c r="C102" s="18">
        <v>53084.76</v>
      </c>
      <c r="D102" s="19">
        <v>3642</v>
      </c>
      <c r="E102" s="19">
        <v>0.15</v>
      </c>
      <c r="F102" s="19">
        <v>1</v>
      </c>
      <c r="G102" s="19">
        <v>0</v>
      </c>
      <c r="H102" s="19">
        <v>0</v>
      </c>
      <c r="I102">
        <f t="shared" si="2"/>
        <v>619636.00380000006</v>
      </c>
      <c r="J102" s="5">
        <f t="shared" si="3"/>
        <v>15545.346199999913</v>
      </c>
    </row>
    <row r="103" spans="1:10">
      <c r="A103" s="19" t="s">
        <v>47</v>
      </c>
      <c r="B103" s="18">
        <v>586626.93999999994</v>
      </c>
      <c r="C103" s="18">
        <v>63101.59</v>
      </c>
      <c r="D103" s="19">
        <v>4373</v>
      </c>
      <c r="E103" s="19">
        <v>0.17299999999999999</v>
      </c>
      <c r="F103" s="19">
        <v>1</v>
      </c>
      <c r="G103" s="19">
        <v>0</v>
      </c>
      <c r="H103" s="19">
        <v>0</v>
      </c>
      <c r="I103">
        <f t="shared" si="2"/>
        <v>729693.36609999998</v>
      </c>
      <c r="J103" s="5">
        <f t="shared" si="3"/>
        <v>-143066.42610000004</v>
      </c>
    </row>
    <row r="104" spans="1:10">
      <c r="A104" s="19" t="s">
        <v>47</v>
      </c>
      <c r="B104" s="18">
        <v>740102.64</v>
      </c>
      <c r="C104" s="18">
        <v>90084.4</v>
      </c>
      <c r="D104" s="19">
        <v>6832</v>
      </c>
      <c r="E104" s="19">
        <v>0.185</v>
      </c>
      <c r="F104" s="19">
        <v>1</v>
      </c>
      <c r="G104" s="19">
        <v>0</v>
      </c>
      <c r="H104" s="19">
        <v>0</v>
      </c>
      <c r="I104">
        <f t="shared" si="2"/>
        <v>1034605.5324999999</v>
      </c>
      <c r="J104" s="5">
        <f t="shared" si="3"/>
        <v>-294502.89249999984</v>
      </c>
    </row>
    <row r="105" spans="1:10">
      <c r="A105" s="19" t="s">
        <v>47</v>
      </c>
      <c r="B105" s="18">
        <v>625514.04</v>
      </c>
      <c r="C105" s="18">
        <v>32266.639999999999</v>
      </c>
      <c r="D105" s="19">
        <v>2414</v>
      </c>
      <c r="E105" s="19">
        <v>0.08</v>
      </c>
      <c r="F105" s="19">
        <v>1</v>
      </c>
      <c r="G105" s="19">
        <v>0</v>
      </c>
      <c r="H105" s="19">
        <v>0</v>
      </c>
      <c r="I105">
        <f t="shared" si="2"/>
        <v>395807.12719999999</v>
      </c>
      <c r="J105" s="5">
        <f t="shared" si="3"/>
        <v>229706.91280000005</v>
      </c>
    </row>
    <row r="106" spans="1:10">
      <c r="A106" s="19" t="s">
        <v>48</v>
      </c>
      <c r="B106" s="18">
        <v>727227.2</v>
      </c>
      <c r="C106" s="18">
        <v>57919.07</v>
      </c>
      <c r="D106" s="19">
        <v>7374</v>
      </c>
      <c r="E106" s="19">
        <v>0.10299999999999999</v>
      </c>
      <c r="F106" s="19">
        <v>0</v>
      </c>
      <c r="G106" s="19">
        <v>1</v>
      </c>
      <c r="H106" s="19">
        <v>0</v>
      </c>
      <c r="I106">
        <f t="shared" si="2"/>
        <v>724877.62749999994</v>
      </c>
      <c r="J106" s="5">
        <f t="shared" si="3"/>
        <v>2349.5725000000093</v>
      </c>
    </row>
    <row r="107" spans="1:10">
      <c r="A107" s="19" t="s">
        <v>48</v>
      </c>
      <c r="B107" s="18">
        <v>783797.89</v>
      </c>
      <c r="C107" s="18">
        <v>74679.350000000006</v>
      </c>
      <c r="D107" s="19">
        <v>8739</v>
      </c>
      <c r="E107" s="19">
        <v>5.6000000000000001E-2</v>
      </c>
      <c r="F107" s="19">
        <v>0</v>
      </c>
      <c r="G107" s="19">
        <v>1</v>
      </c>
      <c r="H107" s="19">
        <v>0</v>
      </c>
      <c r="I107">
        <f t="shared" si="2"/>
        <v>912573.34480000008</v>
      </c>
      <c r="J107" s="5">
        <f t="shared" si="3"/>
        <v>-128775.45480000007</v>
      </c>
    </row>
    <row r="108" spans="1:10">
      <c r="A108" s="19" t="s">
        <v>48</v>
      </c>
      <c r="B108" s="18">
        <v>795153.84</v>
      </c>
      <c r="C108" s="18">
        <v>64294.23</v>
      </c>
      <c r="D108" s="19">
        <v>6992</v>
      </c>
      <c r="E108" s="19">
        <v>0.13300000000000001</v>
      </c>
      <c r="F108" s="19">
        <v>0</v>
      </c>
      <c r="G108" s="19">
        <v>1</v>
      </c>
      <c r="H108" s="19">
        <v>0</v>
      </c>
      <c r="I108">
        <f t="shared" si="2"/>
        <v>781417.24730000005</v>
      </c>
      <c r="J108" s="5">
        <f t="shared" si="3"/>
        <v>13736.592699999921</v>
      </c>
    </row>
    <row r="109" spans="1:10">
      <c r="A109" s="19" t="s">
        <v>48</v>
      </c>
      <c r="B109" s="18">
        <v>665594.93999999994</v>
      </c>
      <c r="C109" s="18">
        <v>31042.03</v>
      </c>
      <c r="D109" s="19">
        <v>7107</v>
      </c>
      <c r="E109" s="19">
        <v>5.0999999999999997E-2</v>
      </c>
      <c r="F109" s="19">
        <v>0</v>
      </c>
      <c r="G109" s="19">
        <v>1</v>
      </c>
      <c r="H109" s="19">
        <v>0</v>
      </c>
      <c r="I109">
        <f t="shared" si="2"/>
        <v>455956.9767</v>
      </c>
      <c r="J109" s="5">
        <f t="shared" si="3"/>
        <v>209637.96329999994</v>
      </c>
    </row>
    <row r="110" spans="1:10">
      <c r="A110" s="19" t="s">
        <v>49</v>
      </c>
      <c r="B110" s="18">
        <v>709478.39</v>
      </c>
      <c r="C110" s="18">
        <v>75265.02</v>
      </c>
      <c r="D110" s="19">
        <v>6975</v>
      </c>
      <c r="E110" s="19">
        <v>0.157</v>
      </c>
      <c r="F110" s="19">
        <v>1</v>
      </c>
      <c r="G110" s="19">
        <v>0</v>
      </c>
      <c r="H110" s="19">
        <v>0</v>
      </c>
      <c r="I110">
        <f t="shared" si="2"/>
        <v>890863.28970000008</v>
      </c>
      <c r="J110" s="5">
        <f t="shared" si="3"/>
        <v>-181384.89970000007</v>
      </c>
    </row>
    <row r="111" spans="1:10">
      <c r="A111" s="19" t="s">
        <v>49</v>
      </c>
      <c r="B111" s="18">
        <v>664162.49</v>
      </c>
      <c r="C111" s="18">
        <v>69411.7</v>
      </c>
      <c r="D111" s="19">
        <v>5493</v>
      </c>
      <c r="E111" s="19">
        <v>0.29199999999999998</v>
      </c>
      <c r="F111" s="19">
        <v>1</v>
      </c>
      <c r="G111" s="19">
        <v>0</v>
      </c>
      <c r="H111" s="19">
        <v>0</v>
      </c>
      <c r="I111">
        <f t="shared" si="2"/>
        <v>807732.58360000001</v>
      </c>
      <c r="J111" s="5">
        <f t="shared" si="3"/>
        <v>-143570.09360000002</v>
      </c>
    </row>
    <row r="112" spans="1:10">
      <c r="A112" s="19" t="s">
        <v>49</v>
      </c>
      <c r="B112" s="18">
        <v>633494.21</v>
      </c>
      <c r="C112" s="18">
        <v>51056.15</v>
      </c>
      <c r="D112" s="19">
        <v>5686</v>
      </c>
      <c r="E112" s="19">
        <v>8.8999999999999996E-2</v>
      </c>
      <c r="F112" s="19">
        <v>1</v>
      </c>
      <c r="G112" s="19">
        <v>0</v>
      </c>
      <c r="H112" s="19">
        <v>0</v>
      </c>
      <c r="I112">
        <f t="shared" si="2"/>
        <v>632547.55370000005</v>
      </c>
      <c r="J112" s="5">
        <f t="shared" si="3"/>
        <v>946.65629999991506</v>
      </c>
    </row>
    <row r="113" spans="1:10">
      <c r="A113" s="19" t="s">
        <v>49</v>
      </c>
      <c r="B113" s="18">
        <v>713611.16</v>
      </c>
      <c r="C113" s="18">
        <v>52758.01</v>
      </c>
      <c r="D113" s="19">
        <v>4063</v>
      </c>
      <c r="E113" s="19">
        <v>5.7000000000000002E-2</v>
      </c>
      <c r="F113" s="19">
        <v>1</v>
      </c>
      <c r="G113" s="19">
        <v>0</v>
      </c>
      <c r="H113" s="19">
        <v>0</v>
      </c>
      <c r="I113">
        <f t="shared" si="2"/>
        <v>624441.58089999994</v>
      </c>
      <c r="J113" s="5">
        <f t="shared" si="3"/>
        <v>89169.57910000009</v>
      </c>
    </row>
    <row r="114" spans="1:10">
      <c r="A114" s="19" t="s">
        <v>50</v>
      </c>
      <c r="B114" s="18">
        <v>778397.97</v>
      </c>
      <c r="C114" s="18">
        <v>61426.04</v>
      </c>
      <c r="D114" s="19">
        <v>8966</v>
      </c>
      <c r="E114" s="19">
        <v>0.17299999999999999</v>
      </c>
      <c r="F114" s="19">
        <v>1</v>
      </c>
      <c r="G114" s="19">
        <v>0</v>
      </c>
      <c r="H114" s="19">
        <v>0</v>
      </c>
      <c r="I114">
        <f t="shared" si="2"/>
        <v>785065.31209999986</v>
      </c>
      <c r="J114" s="5">
        <f t="shared" si="3"/>
        <v>-6667.3420999998925</v>
      </c>
    </row>
    <row r="115" spans="1:10">
      <c r="A115" s="19" t="s">
        <v>50</v>
      </c>
      <c r="B115" s="18">
        <v>873380.02</v>
      </c>
      <c r="C115" s="18">
        <v>80176.34</v>
      </c>
      <c r="D115" s="19">
        <v>9489</v>
      </c>
      <c r="E115" s="19">
        <v>0.14199999999999999</v>
      </c>
      <c r="F115" s="19">
        <v>1</v>
      </c>
      <c r="G115" s="19">
        <v>0</v>
      </c>
      <c r="H115" s="19">
        <v>0</v>
      </c>
      <c r="I115">
        <f t="shared" si="2"/>
        <v>978988.79180000001</v>
      </c>
      <c r="J115" s="5">
        <f t="shared" si="3"/>
        <v>-105608.77179999999</v>
      </c>
    </row>
    <row r="116" spans="1:10">
      <c r="A116" s="19" t="s">
        <v>50</v>
      </c>
      <c r="B116" s="18">
        <v>697287.9</v>
      </c>
      <c r="C116" s="18">
        <v>33605.18</v>
      </c>
      <c r="D116" s="19">
        <v>9225</v>
      </c>
      <c r="E116" s="19">
        <v>0.159</v>
      </c>
      <c r="F116" s="19">
        <v>1</v>
      </c>
      <c r="G116" s="19">
        <v>0</v>
      </c>
      <c r="H116" s="19">
        <v>0</v>
      </c>
      <c r="I116">
        <f t="shared" si="2"/>
        <v>514468.08110000001</v>
      </c>
      <c r="J116" s="5">
        <f t="shared" si="3"/>
        <v>182819.81890000001</v>
      </c>
    </row>
    <row r="117" spans="1:10">
      <c r="A117" s="19" t="s">
        <v>50</v>
      </c>
      <c r="B117" s="18">
        <v>718074.79</v>
      </c>
      <c r="C117" s="18">
        <v>25990.54</v>
      </c>
      <c r="D117" s="19">
        <v>9249</v>
      </c>
      <c r="E117" s="19">
        <v>0.13900000000000001</v>
      </c>
      <c r="F117" s="19">
        <v>1</v>
      </c>
      <c r="G117" s="19">
        <v>0</v>
      </c>
      <c r="H117" s="19">
        <v>0</v>
      </c>
      <c r="I117">
        <f t="shared" si="2"/>
        <v>439921.17190000007</v>
      </c>
      <c r="J117" s="5">
        <f t="shared" si="3"/>
        <v>278153.61809999996</v>
      </c>
    </row>
    <row r="118" spans="1:10">
      <c r="A118" s="19" t="s">
        <v>51</v>
      </c>
      <c r="B118" s="18">
        <v>714942.43</v>
      </c>
      <c r="C118" s="18">
        <v>43685.14</v>
      </c>
      <c r="D118" s="19">
        <v>7821</v>
      </c>
      <c r="E118" s="19">
        <v>0.19</v>
      </c>
      <c r="F118" s="19">
        <v>0</v>
      </c>
      <c r="G118" s="19">
        <v>0</v>
      </c>
      <c r="H118" s="19">
        <v>0</v>
      </c>
      <c r="I118">
        <f t="shared" si="2"/>
        <v>590960.1202</v>
      </c>
      <c r="J118" s="5">
        <f t="shared" si="3"/>
        <v>123982.30980000005</v>
      </c>
    </row>
    <row r="119" spans="1:10">
      <c r="A119" s="19" t="s">
        <v>51</v>
      </c>
      <c r="B119" s="18">
        <v>820519.04</v>
      </c>
      <c r="C119" s="18">
        <v>57360.01</v>
      </c>
      <c r="D119" s="19">
        <v>8434</v>
      </c>
      <c r="E119" s="19">
        <v>0.151</v>
      </c>
      <c r="F119" s="19">
        <v>0</v>
      </c>
      <c r="G119" s="19">
        <v>0</v>
      </c>
      <c r="H119" s="19">
        <v>0</v>
      </c>
      <c r="I119">
        <f t="shared" si="2"/>
        <v>736271.70910000009</v>
      </c>
      <c r="J119" s="5">
        <f t="shared" si="3"/>
        <v>84247.330899999943</v>
      </c>
    </row>
    <row r="120" spans="1:10">
      <c r="A120" s="19" t="s">
        <v>51</v>
      </c>
      <c r="B120" s="18">
        <v>684217.32</v>
      </c>
      <c r="C120" s="18">
        <v>42415.47</v>
      </c>
      <c r="D120" s="19">
        <v>8512</v>
      </c>
      <c r="E120" s="19">
        <v>0.13300000000000001</v>
      </c>
      <c r="F120" s="19">
        <v>0</v>
      </c>
      <c r="G120" s="19">
        <v>0</v>
      </c>
      <c r="H120" s="19">
        <v>0</v>
      </c>
      <c r="I120">
        <f t="shared" si="2"/>
        <v>590120.03850000002</v>
      </c>
      <c r="J120" s="5">
        <f t="shared" si="3"/>
        <v>94097.281499999925</v>
      </c>
    </row>
    <row r="121" spans="1:10">
      <c r="A121" s="19" t="s">
        <v>51</v>
      </c>
      <c r="B121" s="18">
        <v>735480.19</v>
      </c>
      <c r="C121" s="18">
        <v>54968.98</v>
      </c>
      <c r="D121" s="19">
        <v>7816</v>
      </c>
      <c r="E121" s="19">
        <v>0.23200000000000001</v>
      </c>
      <c r="F121" s="19">
        <v>0</v>
      </c>
      <c r="G121" s="19">
        <v>0</v>
      </c>
      <c r="H121" s="19">
        <v>0</v>
      </c>
      <c r="I121">
        <f t="shared" si="2"/>
        <v>701715.38199999998</v>
      </c>
      <c r="J121" s="5">
        <f t="shared" si="3"/>
        <v>33764.807999999961</v>
      </c>
    </row>
    <row r="122" spans="1:10">
      <c r="A122" s="19" t="s">
        <v>52</v>
      </c>
      <c r="B122" s="18">
        <v>509484.81</v>
      </c>
      <c r="C122" s="18">
        <v>43896.13</v>
      </c>
      <c r="D122" s="19">
        <v>3853</v>
      </c>
      <c r="E122" s="19">
        <v>8.7999999999999995E-2</v>
      </c>
      <c r="F122" s="19">
        <v>0</v>
      </c>
      <c r="G122" s="19">
        <v>1</v>
      </c>
      <c r="H122" s="19">
        <v>0</v>
      </c>
      <c r="I122">
        <f t="shared" si="2"/>
        <v>531424.54080000008</v>
      </c>
      <c r="J122" s="5">
        <f t="shared" si="3"/>
        <v>-21939.730800000078</v>
      </c>
    </row>
    <row r="123" spans="1:10">
      <c r="A123" s="19" t="s">
        <v>52</v>
      </c>
      <c r="B123" s="18">
        <v>654317.09</v>
      </c>
      <c r="C123" s="18">
        <v>83044.17</v>
      </c>
      <c r="D123" s="19">
        <v>3694</v>
      </c>
      <c r="E123" s="19">
        <v>0</v>
      </c>
      <c r="F123" s="19">
        <v>0</v>
      </c>
      <c r="G123" s="19">
        <v>1</v>
      </c>
      <c r="H123" s="19">
        <v>0</v>
      </c>
      <c r="I123">
        <f t="shared" si="2"/>
        <v>917080.7696</v>
      </c>
      <c r="J123" s="5">
        <f t="shared" si="3"/>
        <v>-262763.67960000003</v>
      </c>
    </row>
    <row r="124" spans="1:10">
      <c r="A124" s="19" t="s">
        <v>52</v>
      </c>
      <c r="B124" s="18">
        <v>557487.26</v>
      </c>
      <c r="C124" s="18">
        <v>48396.13</v>
      </c>
      <c r="D124" s="19">
        <v>4423</v>
      </c>
      <c r="E124" s="19">
        <v>6.9000000000000006E-2</v>
      </c>
      <c r="F124" s="19">
        <v>0</v>
      </c>
      <c r="G124" s="19">
        <v>1</v>
      </c>
      <c r="H124" s="19">
        <v>0</v>
      </c>
      <c r="I124">
        <f t="shared" si="2"/>
        <v>585105.14009999996</v>
      </c>
      <c r="J124" s="5">
        <f t="shared" si="3"/>
        <v>-27617.880099999951</v>
      </c>
    </row>
    <row r="125" spans="1:10">
      <c r="A125" s="19" t="s">
        <v>52</v>
      </c>
      <c r="B125" s="18">
        <v>441275.42</v>
      </c>
      <c r="C125" s="18">
        <v>19063.48</v>
      </c>
      <c r="D125" s="19">
        <v>1906</v>
      </c>
      <c r="E125" s="19">
        <v>0.216</v>
      </c>
      <c r="F125" s="19">
        <v>0</v>
      </c>
      <c r="G125" s="19">
        <v>1</v>
      </c>
      <c r="H125" s="19">
        <v>0</v>
      </c>
      <c r="I125">
        <f t="shared" si="2"/>
        <v>253604.61720000004</v>
      </c>
      <c r="J125" s="5">
        <f t="shared" si="3"/>
        <v>187670.80279999995</v>
      </c>
    </row>
    <row r="126" spans="1:10">
      <c r="A126" s="19" t="s">
        <v>53</v>
      </c>
      <c r="B126" s="18">
        <v>914544.17</v>
      </c>
      <c r="C126" s="18">
        <v>61541.21</v>
      </c>
      <c r="D126" s="19">
        <v>10396</v>
      </c>
      <c r="E126" s="19">
        <v>0.123</v>
      </c>
      <c r="F126" s="19">
        <v>0</v>
      </c>
      <c r="G126" s="19">
        <v>1</v>
      </c>
      <c r="H126" s="19">
        <v>0</v>
      </c>
      <c r="I126">
        <f t="shared" si="2"/>
        <v>807678.99670000002</v>
      </c>
      <c r="J126" s="5">
        <f t="shared" si="3"/>
        <v>106865.17330000002</v>
      </c>
    </row>
    <row r="127" spans="1:10">
      <c r="A127" s="19" t="s">
        <v>53</v>
      </c>
      <c r="B127" s="18">
        <v>842439.67</v>
      </c>
      <c r="C127" s="18">
        <v>44747</v>
      </c>
      <c r="D127" s="19">
        <v>11076</v>
      </c>
      <c r="E127" s="19">
        <v>0.17599999999999999</v>
      </c>
      <c r="F127" s="19">
        <v>0</v>
      </c>
      <c r="G127" s="19">
        <v>1</v>
      </c>
      <c r="H127" s="19">
        <v>0</v>
      </c>
      <c r="I127">
        <f t="shared" si="2"/>
        <v>651579.78280000004</v>
      </c>
      <c r="J127" s="5">
        <f t="shared" si="3"/>
        <v>190859.8872</v>
      </c>
    </row>
    <row r="128" spans="1:10">
      <c r="A128" s="19" t="s">
        <v>53</v>
      </c>
      <c r="B128" s="18">
        <v>842157.92</v>
      </c>
      <c r="C128" s="18">
        <v>56517.9</v>
      </c>
      <c r="D128" s="19">
        <v>9574</v>
      </c>
      <c r="E128" s="19">
        <v>0.20399999999999999</v>
      </c>
      <c r="F128" s="19">
        <v>0</v>
      </c>
      <c r="G128" s="19">
        <v>1</v>
      </c>
      <c r="H128" s="19">
        <v>0</v>
      </c>
      <c r="I128">
        <f t="shared" si="2"/>
        <v>743921.10320000001</v>
      </c>
      <c r="J128" s="5">
        <f t="shared" si="3"/>
        <v>98236.81680000003</v>
      </c>
    </row>
    <row r="129" spans="1:10">
      <c r="A129" s="19" t="s">
        <v>53</v>
      </c>
      <c r="B129" s="18">
        <v>697155.3</v>
      </c>
      <c r="C129" s="18">
        <v>37828.5</v>
      </c>
      <c r="D129" s="19">
        <v>8221</v>
      </c>
      <c r="E129" s="19">
        <v>9.6000000000000002E-2</v>
      </c>
      <c r="F129" s="19">
        <v>0</v>
      </c>
      <c r="G129" s="19">
        <v>1</v>
      </c>
      <c r="H129" s="19">
        <v>0</v>
      </c>
      <c r="I129">
        <f t="shared" si="2"/>
        <v>539755.27879999997</v>
      </c>
      <c r="J129" s="5">
        <f t="shared" si="3"/>
        <v>157400.02120000008</v>
      </c>
    </row>
    <row r="130" spans="1:10">
      <c r="A130" s="19" t="s">
        <v>54</v>
      </c>
      <c r="B130" s="18">
        <v>849018.3</v>
      </c>
      <c r="C130" s="18">
        <v>66250.53</v>
      </c>
      <c r="D130" s="19">
        <v>10618</v>
      </c>
      <c r="E130" s="19">
        <v>0.14199999999999999</v>
      </c>
      <c r="F130" s="19">
        <v>0</v>
      </c>
      <c r="G130" s="19">
        <v>1</v>
      </c>
      <c r="H130" s="19">
        <v>0</v>
      </c>
      <c r="I130">
        <f t="shared" si="2"/>
        <v>857389.19900000002</v>
      </c>
      <c r="J130" s="5">
        <f t="shared" si="3"/>
        <v>-8370.8989999999758</v>
      </c>
    </row>
    <row r="131" spans="1:10">
      <c r="A131" s="19" t="s">
        <v>54</v>
      </c>
      <c r="B131" s="18">
        <v>801830.35</v>
      </c>
      <c r="C131" s="18">
        <v>68410.929999999993</v>
      </c>
      <c r="D131" s="19">
        <v>10596</v>
      </c>
      <c r="E131" s="19">
        <v>0.20699999999999999</v>
      </c>
      <c r="F131" s="19">
        <v>0</v>
      </c>
      <c r="G131" s="19">
        <v>1</v>
      </c>
      <c r="H131" s="19">
        <v>0</v>
      </c>
      <c r="I131">
        <f t="shared" ref="I131:I194" si="4">39818.07 + (9.88 * C131) + (15.66 * D131) - (15494.7 * E131) + (630.99 * F131) - (1061.74 * G131) + (18649.34 * H131)</f>
        <v>877382.27549999999</v>
      </c>
      <c r="J131" s="5">
        <f t="shared" ref="J131:J194" si="5">B131 - I131</f>
        <v>-75551.925500000012</v>
      </c>
    </row>
    <row r="132" spans="1:10">
      <c r="A132" s="19" t="s">
        <v>54</v>
      </c>
      <c r="B132" s="18">
        <v>725235.28</v>
      </c>
      <c r="C132" s="18">
        <v>50735.63</v>
      </c>
      <c r="D132" s="19">
        <v>9619</v>
      </c>
      <c r="E132" s="19">
        <v>0.14399999999999999</v>
      </c>
      <c r="F132" s="19">
        <v>0</v>
      </c>
      <c r="G132" s="19">
        <v>1</v>
      </c>
      <c r="H132" s="19">
        <v>0</v>
      </c>
      <c r="I132">
        <f t="shared" si="4"/>
        <v>688426.65760000004</v>
      </c>
      <c r="J132" s="5">
        <f t="shared" si="5"/>
        <v>36808.622399999993</v>
      </c>
    </row>
    <row r="133" spans="1:10">
      <c r="A133" s="19" t="s">
        <v>54</v>
      </c>
      <c r="B133" s="18">
        <v>811452.72</v>
      </c>
      <c r="C133" s="18">
        <v>66455.8</v>
      </c>
      <c r="D133" s="19">
        <v>10836</v>
      </c>
      <c r="E133" s="19">
        <v>8.8999999999999996E-2</v>
      </c>
      <c r="F133" s="19">
        <v>0</v>
      </c>
      <c r="G133" s="19">
        <v>1</v>
      </c>
      <c r="H133" s="19">
        <v>0</v>
      </c>
      <c r="I133">
        <f t="shared" si="4"/>
        <v>863652.36570000008</v>
      </c>
      <c r="J133" s="5">
        <f t="shared" si="5"/>
        <v>-52199.64570000011</v>
      </c>
    </row>
    <row r="134" spans="1:10">
      <c r="A134" s="19" t="s">
        <v>55</v>
      </c>
      <c r="B134" s="18">
        <v>527300.13</v>
      </c>
      <c r="C134" s="18">
        <v>70276.28</v>
      </c>
      <c r="D134" s="19">
        <v>3043</v>
      </c>
      <c r="E134" s="19">
        <v>7.9000000000000001E-2</v>
      </c>
      <c r="F134" s="19">
        <v>0</v>
      </c>
      <c r="G134" s="19">
        <v>1</v>
      </c>
      <c r="H134" s="19">
        <v>0</v>
      </c>
      <c r="I134">
        <f t="shared" si="4"/>
        <v>779515.27510000009</v>
      </c>
      <c r="J134" s="5">
        <f t="shared" si="5"/>
        <v>-252215.14510000008</v>
      </c>
    </row>
    <row r="135" spans="1:10">
      <c r="A135" s="19" t="s">
        <v>55</v>
      </c>
      <c r="B135" s="18">
        <v>400831.65</v>
      </c>
      <c r="C135" s="18">
        <v>22071.64</v>
      </c>
      <c r="D135" s="19">
        <v>1814</v>
      </c>
      <c r="E135" s="19">
        <v>0.19600000000000001</v>
      </c>
      <c r="F135" s="19">
        <v>0</v>
      </c>
      <c r="G135" s="19">
        <v>1</v>
      </c>
      <c r="H135" s="19">
        <v>0</v>
      </c>
      <c r="I135">
        <f t="shared" si="4"/>
        <v>282194.41200000001</v>
      </c>
      <c r="J135" s="5">
        <f t="shared" si="5"/>
        <v>118637.23800000001</v>
      </c>
    </row>
    <row r="136" spans="1:10">
      <c r="A136" s="19" t="s">
        <v>55</v>
      </c>
      <c r="B136" s="18">
        <v>593247.25</v>
      </c>
      <c r="C136" s="18">
        <v>52285.45</v>
      </c>
      <c r="D136" s="19">
        <v>3618</v>
      </c>
      <c r="E136" s="19">
        <v>8.5999999999999993E-2</v>
      </c>
      <c r="F136" s="19">
        <v>0</v>
      </c>
      <c r="G136" s="19">
        <v>1</v>
      </c>
      <c r="H136" s="19">
        <v>0</v>
      </c>
      <c r="I136">
        <f t="shared" si="4"/>
        <v>610661.9118</v>
      </c>
      <c r="J136" s="5">
        <f t="shared" si="5"/>
        <v>-17414.661800000002</v>
      </c>
    </row>
    <row r="137" spans="1:10">
      <c r="A137" s="19" t="s">
        <v>55</v>
      </c>
      <c r="B137" s="18">
        <v>529075.94999999995</v>
      </c>
      <c r="C137" s="18">
        <v>70366.759999999995</v>
      </c>
      <c r="D137" s="19">
        <v>1963</v>
      </c>
      <c r="E137" s="19">
        <v>0.182</v>
      </c>
      <c r="F137" s="19">
        <v>0</v>
      </c>
      <c r="G137" s="19">
        <v>1</v>
      </c>
      <c r="H137" s="19">
        <v>0</v>
      </c>
      <c r="I137">
        <f t="shared" si="4"/>
        <v>761900.46339999989</v>
      </c>
      <c r="J137" s="5">
        <f t="shared" si="5"/>
        <v>-232824.51339999994</v>
      </c>
    </row>
    <row r="138" spans="1:10">
      <c r="A138" s="19" t="s">
        <v>56</v>
      </c>
      <c r="B138" s="18">
        <v>633638.03</v>
      </c>
      <c r="C138" s="18">
        <v>71320.66</v>
      </c>
      <c r="D138" s="19">
        <v>7888</v>
      </c>
      <c r="E138" s="19">
        <v>4.8000000000000001E-2</v>
      </c>
      <c r="F138" s="19">
        <v>0</v>
      </c>
      <c r="G138" s="19">
        <v>0</v>
      </c>
      <c r="H138" s="19">
        <v>0</v>
      </c>
      <c r="I138">
        <f t="shared" si="4"/>
        <v>867248.52519999992</v>
      </c>
      <c r="J138" s="5">
        <f t="shared" si="5"/>
        <v>-233610.49519999989</v>
      </c>
    </row>
    <row r="139" spans="1:10">
      <c r="A139" s="19" t="s">
        <v>56</v>
      </c>
      <c r="B139" s="18">
        <v>743348.84</v>
      </c>
      <c r="C139" s="18">
        <v>75109.67</v>
      </c>
      <c r="D139" s="19">
        <v>6244</v>
      </c>
      <c r="E139" s="19">
        <v>7.9000000000000001E-2</v>
      </c>
      <c r="F139" s="19">
        <v>0</v>
      </c>
      <c r="G139" s="19">
        <v>0</v>
      </c>
      <c r="H139" s="19">
        <v>0</v>
      </c>
      <c r="I139">
        <f t="shared" si="4"/>
        <v>878458.56830000004</v>
      </c>
      <c r="J139" s="5">
        <f t="shared" si="5"/>
        <v>-135109.72830000008</v>
      </c>
    </row>
    <row r="140" spans="1:10">
      <c r="A140" s="19" t="s">
        <v>56</v>
      </c>
      <c r="B140" s="18">
        <v>758827.64</v>
      </c>
      <c r="C140" s="18">
        <v>69779</v>
      </c>
      <c r="D140" s="19">
        <v>6544</v>
      </c>
      <c r="E140" s="19">
        <v>0.152</v>
      </c>
      <c r="F140" s="19">
        <v>0</v>
      </c>
      <c r="G140" s="19">
        <v>0</v>
      </c>
      <c r="H140" s="19">
        <v>0</v>
      </c>
      <c r="I140">
        <f t="shared" si="4"/>
        <v>829358.43559999997</v>
      </c>
      <c r="J140" s="5">
        <f t="shared" si="5"/>
        <v>-70530.795599999954</v>
      </c>
    </row>
    <row r="141" spans="1:10">
      <c r="A141" s="19" t="s">
        <v>56</v>
      </c>
      <c r="B141" s="18">
        <v>646559.71</v>
      </c>
      <c r="C141" s="18">
        <v>44211.95</v>
      </c>
      <c r="D141" s="19">
        <v>5465</v>
      </c>
      <c r="E141" s="19">
        <v>0.187</v>
      </c>
      <c r="F141" s="19">
        <v>0</v>
      </c>
      <c r="G141" s="19">
        <v>0</v>
      </c>
      <c r="H141" s="19">
        <v>0</v>
      </c>
      <c r="I141">
        <f t="shared" si="4"/>
        <v>559316.52709999995</v>
      </c>
      <c r="J141" s="5">
        <f t="shared" si="5"/>
        <v>87243.182900000014</v>
      </c>
    </row>
    <row r="142" spans="1:10">
      <c r="A142" s="19" t="s">
        <v>57</v>
      </c>
      <c r="B142" s="18">
        <v>715890.53</v>
      </c>
      <c r="C142" s="18">
        <v>51430.31</v>
      </c>
      <c r="D142" s="19">
        <v>6427</v>
      </c>
      <c r="E142" s="19">
        <v>0.23400000000000001</v>
      </c>
      <c r="F142" s="19">
        <v>0</v>
      </c>
      <c r="G142" s="19">
        <v>1</v>
      </c>
      <c r="H142" s="19">
        <v>0</v>
      </c>
      <c r="I142">
        <f t="shared" si="4"/>
        <v>643908.853</v>
      </c>
      <c r="J142" s="5">
        <f t="shared" si="5"/>
        <v>71981.677000000025</v>
      </c>
    </row>
    <row r="143" spans="1:10">
      <c r="A143" s="19" t="s">
        <v>57</v>
      </c>
      <c r="B143" s="18">
        <v>715097.57</v>
      </c>
      <c r="C143" s="18">
        <v>45706.49</v>
      </c>
      <c r="D143" s="19">
        <v>6704</v>
      </c>
      <c r="E143" s="19">
        <v>3.7999999999999999E-2</v>
      </c>
      <c r="F143" s="19">
        <v>0</v>
      </c>
      <c r="G143" s="19">
        <v>1</v>
      </c>
      <c r="H143" s="19">
        <v>0</v>
      </c>
      <c r="I143">
        <f t="shared" si="4"/>
        <v>594732.29260000004</v>
      </c>
      <c r="J143" s="5">
        <f t="shared" si="5"/>
        <v>120365.2773999999</v>
      </c>
    </row>
    <row r="144" spans="1:10">
      <c r="A144" s="19" t="s">
        <v>57</v>
      </c>
      <c r="B144" s="18">
        <v>682639.28</v>
      </c>
      <c r="C144" s="18">
        <v>44034.6</v>
      </c>
      <c r="D144" s="19">
        <v>5645</v>
      </c>
      <c r="E144" s="19">
        <v>6.9000000000000006E-2</v>
      </c>
      <c r="F144" s="19">
        <v>0</v>
      </c>
      <c r="G144" s="19">
        <v>1</v>
      </c>
      <c r="H144" s="19">
        <v>0</v>
      </c>
      <c r="I144">
        <f t="shared" si="4"/>
        <v>561149.74369999999</v>
      </c>
      <c r="J144" s="5">
        <f t="shared" si="5"/>
        <v>121489.53630000004</v>
      </c>
    </row>
    <row r="145" spans="1:10">
      <c r="A145" s="19" t="s">
        <v>57</v>
      </c>
      <c r="B145" s="18">
        <v>695098.51</v>
      </c>
      <c r="C145" s="18">
        <v>50198.12</v>
      </c>
      <c r="D145" s="19">
        <v>6089</v>
      </c>
      <c r="E145" s="19">
        <v>0.182</v>
      </c>
      <c r="F145" s="19">
        <v>0</v>
      </c>
      <c r="G145" s="19">
        <v>1</v>
      </c>
      <c r="H145" s="19">
        <v>0</v>
      </c>
      <c r="I145">
        <f t="shared" si="4"/>
        <v>627247.46019999997</v>
      </c>
      <c r="J145" s="5">
        <f t="shared" si="5"/>
        <v>67851.049800000037</v>
      </c>
    </row>
    <row r="146" spans="1:10">
      <c r="A146" s="19" t="s">
        <v>58</v>
      </c>
      <c r="B146" s="18">
        <v>577732.56999999995</v>
      </c>
      <c r="C146" s="18">
        <v>70488.2</v>
      </c>
      <c r="D146" s="19">
        <v>4312</v>
      </c>
      <c r="E146" s="19">
        <v>0.16900000000000001</v>
      </c>
      <c r="F146" s="19">
        <v>0</v>
      </c>
      <c r="G146" s="19">
        <v>0</v>
      </c>
      <c r="H146" s="19">
        <v>0</v>
      </c>
      <c r="I146">
        <f t="shared" si="4"/>
        <v>801148.80169999995</v>
      </c>
      <c r="J146" s="5">
        <f t="shared" si="5"/>
        <v>-223416.2317</v>
      </c>
    </row>
    <row r="147" spans="1:10">
      <c r="A147" s="19" t="s">
        <v>58</v>
      </c>
      <c r="B147" s="18">
        <v>537058.32999999996</v>
      </c>
      <c r="C147" s="18">
        <v>50909.27</v>
      </c>
      <c r="D147" s="19">
        <v>3152</v>
      </c>
      <c r="E147" s="19">
        <v>0.06</v>
      </c>
      <c r="F147" s="19">
        <v>0</v>
      </c>
      <c r="G147" s="19">
        <v>0</v>
      </c>
      <c r="H147" s="19">
        <v>0</v>
      </c>
      <c r="I147">
        <f t="shared" si="4"/>
        <v>591232.29559999995</v>
      </c>
      <c r="J147" s="5">
        <f t="shared" si="5"/>
        <v>-54173.965599999996</v>
      </c>
    </row>
    <row r="148" spans="1:10">
      <c r="A148" s="19" t="s">
        <v>58</v>
      </c>
      <c r="B148" s="18">
        <v>601568.87</v>
      </c>
      <c r="C148" s="18">
        <v>53351.7</v>
      </c>
      <c r="D148" s="19">
        <v>4259</v>
      </c>
      <c r="E148" s="19">
        <v>0.156</v>
      </c>
      <c r="F148" s="19">
        <v>0</v>
      </c>
      <c r="G148" s="19">
        <v>0</v>
      </c>
      <c r="H148" s="19">
        <v>0</v>
      </c>
      <c r="I148">
        <f t="shared" si="4"/>
        <v>631211.6327999999</v>
      </c>
      <c r="J148" s="5">
        <f t="shared" si="5"/>
        <v>-29642.762799999909</v>
      </c>
    </row>
    <row r="149" spans="1:10">
      <c r="A149" s="19" t="s">
        <v>58</v>
      </c>
      <c r="B149" s="18">
        <v>570964.84</v>
      </c>
      <c r="C149" s="18">
        <v>60322.400000000001</v>
      </c>
      <c r="D149" s="19">
        <v>3350</v>
      </c>
      <c r="E149" s="19">
        <v>0.108</v>
      </c>
      <c r="F149" s="19">
        <v>0</v>
      </c>
      <c r="G149" s="19">
        <v>0</v>
      </c>
      <c r="H149" s="19">
        <v>0</v>
      </c>
      <c r="I149">
        <f t="shared" si="4"/>
        <v>686590.95439999993</v>
      </c>
      <c r="J149" s="5">
        <f t="shared" si="5"/>
        <v>-115626.11439999996</v>
      </c>
    </row>
    <row r="150" spans="1:10">
      <c r="A150" s="19" t="s">
        <v>59</v>
      </c>
      <c r="B150" s="18">
        <v>614024.91</v>
      </c>
      <c r="C150" s="18">
        <v>51575.68</v>
      </c>
      <c r="D150" s="19">
        <v>5329</v>
      </c>
      <c r="E150" s="19">
        <v>4.7E-2</v>
      </c>
      <c r="F150" s="19">
        <v>1</v>
      </c>
      <c r="G150" s="19">
        <v>0</v>
      </c>
      <c r="H150" s="19">
        <v>0</v>
      </c>
      <c r="I150">
        <f t="shared" si="4"/>
        <v>632740.6675000001</v>
      </c>
      <c r="J150" s="5">
        <f t="shared" si="5"/>
        <v>-18715.757500000065</v>
      </c>
    </row>
    <row r="151" spans="1:10">
      <c r="A151" s="19" t="s">
        <v>59</v>
      </c>
      <c r="B151" s="18">
        <v>712868.35</v>
      </c>
      <c r="C151" s="18">
        <v>43319.94</v>
      </c>
      <c r="D151" s="19">
        <v>6551</v>
      </c>
      <c r="E151" s="19">
        <v>4.3999999999999997E-2</v>
      </c>
      <c r="F151" s="19">
        <v>1</v>
      </c>
      <c r="G151" s="19">
        <v>0</v>
      </c>
      <c r="H151" s="19">
        <v>0</v>
      </c>
      <c r="I151">
        <f t="shared" si="4"/>
        <v>570356.9604000001</v>
      </c>
      <c r="J151" s="5">
        <f t="shared" si="5"/>
        <v>142511.38959999988</v>
      </c>
    </row>
    <row r="152" spans="1:10">
      <c r="A152" s="19" t="s">
        <v>59</v>
      </c>
      <c r="B152" s="18">
        <v>696744.15</v>
      </c>
      <c r="C152" s="18">
        <v>47093.55</v>
      </c>
      <c r="D152" s="19">
        <v>5550</v>
      </c>
      <c r="E152" s="19">
        <v>0.1</v>
      </c>
      <c r="F152" s="19">
        <v>1</v>
      </c>
      <c r="G152" s="19">
        <v>0</v>
      </c>
      <c r="H152" s="19">
        <v>0</v>
      </c>
      <c r="I152">
        <f t="shared" si="4"/>
        <v>591096.86400000006</v>
      </c>
      <c r="J152" s="5">
        <f t="shared" si="5"/>
        <v>105647.28599999996</v>
      </c>
    </row>
    <row r="153" spans="1:10">
      <c r="A153" s="19" t="s">
        <v>59</v>
      </c>
      <c r="B153" s="18">
        <v>725847.99</v>
      </c>
      <c r="C153" s="18">
        <v>71855.09</v>
      </c>
      <c r="D153" s="19">
        <v>5911</v>
      </c>
      <c r="E153" s="19">
        <v>0.19700000000000001</v>
      </c>
      <c r="F153" s="19">
        <v>1</v>
      </c>
      <c r="G153" s="19">
        <v>0</v>
      </c>
      <c r="H153" s="19">
        <v>0</v>
      </c>
      <c r="I153">
        <f t="shared" si="4"/>
        <v>839891.15330000001</v>
      </c>
      <c r="J153" s="5">
        <f t="shared" si="5"/>
        <v>-114043.16330000001</v>
      </c>
    </row>
    <row r="154" spans="1:10">
      <c r="A154" s="19" t="s">
        <v>60</v>
      </c>
      <c r="B154" s="18">
        <v>785028.25</v>
      </c>
      <c r="C154" s="18">
        <v>75645.23</v>
      </c>
      <c r="D154" s="19">
        <v>9674</v>
      </c>
      <c r="E154" s="19">
        <v>0.23400000000000001</v>
      </c>
      <c r="F154" s="19">
        <v>0</v>
      </c>
      <c r="G154" s="19">
        <v>1</v>
      </c>
      <c r="H154" s="19">
        <v>0</v>
      </c>
      <c r="I154">
        <f t="shared" si="4"/>
        <v>934000.28259999992</v>
      </c>
      <c r="J154" s="5">
        <f t="shared" si="5"/>
        <v>-148972.03259999992</v>
      </c>
    </row>
    <row r="155" spans="1:10">
      <c r="A155" s="19" t="s">
        <v>60</v>
      </c>
      <c r="B155" s="18">
        <v>698492.67</v>
      </c>
      <c r="C155" s="18">
        <v>64374.75</v>
      </c>
      <c r="D155" s="19">
        <v>6740</v>
      </c>
      <c r="E155" s="19">
        <v>0.16900000000000001</v>
      </c>
      <c r="F155" s="19">
        <v>0</v>
      </c>
      <c r="G155" s="19">
        <v>1</v>
      </c>
      <c r="H155" s="19">
        <v>0</v>
      </c>
      <c r="I155">
        <f t="shared" si="4"/>
        <v>777708.6557</v>
      </c>
      <c r="J155" s="5">
        <f t="shared" si="5"/>
        <v>-79215.985699999961</v>
      </c>
    </row>
    <row r="156" spans="1:10">
      <c r="A156" s="19" t="s">
        <v>60</v>
      </c>
      <c r="B156" s="18">
        <v>685830.24</v>
      </c>
      <c r="C156" s="18">
        <v>61433.84</v>
      </c>
      <c r="D156" s="19">
        <v>7745</v>
      </c>
      <c r="E156" s="19">
        <v>0.18</v>
      </c>
      <c r="F156" s="19">
        <v>0</v>
      </c>
      <c r="G156" s="19">
        <v>1</v>
      </c>
      <c r="H156" s="19">
        <v>0</v>
      </c>
      <c r="I156">
        <f t="shared" si="4"/>
        <v>764220.32319999998</v>
      </c>
      <c r="J156" s="5">
        <f t="shared" si="5"/>
        <v>-78390.083199999994</v>
      </c>
    </row>
    <row r="157" spans="1:10">
      <c r="A157" s="19" t="s">
        <v>60</v>
      </c>
      <c r="B157" s="18">
        <v>702318.94</v>
      </c>
      <c r="C157" s="18">
        <v>42698.14</v>
      </c>
      <c r="D157" s="19">
        <v>7693</v>
      </c>
      <c r="E157" s="19">
        <v>0.187</v>
      </c>
      <c r="F157" s="19">
        <v>0</v>
      </c>
      <c r="G157" s="19">
        <v>1</v>
      </c>
      <c r="H157" s="19">
        <v>0</v>
      </c>
      <c r="I157">
        <f t="shared" si="4"/>
        <v>578188.82429999998</v>
      </c>
      <c r="J157" s="5">
        <f t="shared" si="5"/>
        <v>124130.11569999997</v>
      </c>
    </row>
    <row r="158" spans="1:10">
      <c r="A158" s="19" t="s">
        <v>61</v>
      </c>
      <c r="B158" s="18">
        <v>700078.32</v>
      </c>
      <c r="C158" s="18">
        <v>86883.31</v>
      </c>
      <c r="D158" s="19">
        <v>6424</v>
      </c>
      <c r="E158" s="19">
        <v>5.7000000000000002E-2</v>
      </c>
      <c r="F158" s="19">
        <v>1</v>
      </c>
      <c r="G158" s="19">
        <v>0</v>
      </c>
      <c r="H158" s="19">
        <v>0</v>
      </c>
      <c r="I158">
        <f t="shared" si="4"/>
        <v>998572.80489999987</v>
      </c>
      <c r="J158" s="5">
        <f t="shared" si="5"/>
        <v>-298494.48489999992</v>
      </c>
    </row>
    <row r="159" spans="1:10">
      <c r="A159" s="19" t="s">
        <v>61</v>
      </c>
      <c r="B159" s="18">
        <v>602002.31999999995</v>
      </c>
      <c r="C159" s="18">
        <v>41863.08</v>
      </c>
      <c r="D159" s="19">
        <v>5400</v>
      </c>
      <c r="E159" s="19">
        <v>0.114</v>
      </c>
      <c r="F159" s="19">
        <v>1</v>
      </c>
      <c r="G159" s="19">
        <v>0</v>
      </c>
      <c r="H159" s="19">
        <v>0</v>
      </c>
      <c r="I159">
        <f t="shared" si="4"/>
        <v>536853.8946</v>
      </c>
      <c r="J159" s="5">
        <f t="shared" si="5"/>
        <v>65148.425399999949</v>
      </c>
    </row>
    <row r="160" spans="1:10">
      <c r="A160" s="19" t="s">
        <v>61</v>
      </c>
      <c r="B160" s="18">
        <v>724216.07</v>
      </c>
      <c r="C160" s="18">
        <v>56918.16</v>
      </c>
      <c r="D160" s="19">
        <v>7015</v>
      </c>
      <c r="E160" s="19">
        <v>0.158</v>
      </c>
      <c r="F160" s="19">
        <v>1</v>
      </c>
      <c r="G160" s="19">
        <v>0</v>
      </c>
      <c r="H160" s="19">
        <v>0</v>
      </c>
      <c r="I160">
        <f t="shared" si="4"/>
        <v>710207.2182</v>
      </c>
      <c r="J160" s="5">
        <f t="shared" si="5"/>
        <v>14008.851799999946</v>
      </c>
    </row>
    <row r="161" spans="1:10">
      <c r="A161" s="19" t="s">
        <v>61</v>
      </c>
      <c r="B161" s="18">
        <v>620973.03</v>
      </c>
      <c r="C161" s="18">
        <v>23254.57</v>
      </c>
      <c r="D161" s="19">
        <v>3847</v>
      </c>
      <c r="E161" s="19">
        <v>0.159</v>
      </c>
      <c r="F161" s="19">
        <v>1</v>
      </c>
      <c r="G161" s="19">
        <v>0</v>
      </c>
      <c r="H161" s="19">
        <v>0</v>
      </c>
      <c r="I161">
        <f t="shared" si="4"/>
        <v>327984.57429999998</v>
      </c>
      <c r="J161" s="5">
        <f t="shared" si="5"/>
        <v>292988.45570000005</v>
      </c>
    </row>
    <row r="162" spans="1:10">
      <c r="A162" s="19" t="s">
        <v>62</v>
      </c>
      <c r="B162" s="18">
        <v>650480.06000000006</v>
      </c>
      <c r="C162" s="18">
        <v>41443.410000000003</v>
      </c>
      <c r="D162" s="19">
        <v>7455</v>
      </c>
      <c r="E162" s="19">
        <v>0.17499999999999999</v>
      </c>
      <c r="F162" s="19">
        <v>0</v>
      </c>
      <c r="G162" s="19">
        <v>1</v>
      </c>
      <c r="H162" s="19">
        <v>0</v>
      </c>
      <c r="I162">
        <f t="shared" si="4"/>
        <v>562250.94830000005</v>
      </c>
      <c r="J162" s="5">
        <f t="shared" si="5"/>
        <v>88229.111700000009</v>
      </c>
    </row>
    <row r="163" spans="1:10">
      <c r="A163" s="19" t="s">
        <v>62</v>
      </c>
      <c r="B163" s="18">
        <v>778298.88</v>
      </c>
      <c r="C163" s="18">
        <v>48438.85</v>
      </c>
      <c r="D163" s="19">
        <v>6992</v>
      </c>
      <c r="E163" s="19">
        <v>3.4000000000000002E-2</v>
      </c>
      <c r="F163" s="19">
        <v>0</v>
      </c>
      <c r="G163" s="19">
        <v>1</v>
      </c>
      <c r="H163" s="19">
        <v>0</v>
      </c>
      <c r="I163">
        <f t="shared" si="4"/>
        <v>626300.06819999998</v>
      </c>
      <c r="J163" s="5">
        <f t="shared" si="5"/>
        <v>151998.81180000002</v>
      </c>
    </row>
    <row r="164" spans="1:10">
      <c r="A164" s="19" t="s">
        <v>62</v>
      </c>
      <c r="B164" s="18">
        <v>677096.71</v>
      </c>
      <c r="C164" s="18">
        <v>57143.3</v>
      </c>
      <c r="D164" s="19">
        <v>8038</v>
      </c>
      <c r="E164" s="19">
        <v>0.193</v>
      </c>
      <c r="F164" s="19">
        <v>0</v>
      </c>
      <c r="G164" s="19">
        <v>1</v>
      </c>
      <c r="H164" s="19">
        <v>0</v>
      </c>
      <c r="I164">
        <f t="shared" si="4"/>
        <v>726216.73690000002</v>
      </c>
      <c r="J164" s="5">
        <f t="shared" si="5"/>
        <v>-49120.026900000055</v>
      </c>
    </row>
    <row r="165" spans="1:10">
      <c r="A165" s="19" t="s">
        <v>62</v>
      </c>
      <c r="B165" s="18">
        <v>692008.64</v>
      </c>
      <c r="C165" s="18">
        <v>66870.62</v>
      </c>
      <c r="D165" s="19">
        <v>6055</v>
      </c>
      <c r="E165" s="19">
        <v>7.4999999999999997E-2</v>
      </c>
      <c r="F165" s="19">
        <v>0</v>
      </c>
      <c r="G165" s="19">
        <v>1</v>
      </c>
      <c r="H165" s="19">
        <v>0</v>
      </c>
      <c r="I165">
        <f t="shared" si="4"/>
        <v>793097.25309999997</v>
      </c>
      <c r="J165" s="5">
        <f t="shared" si="5"/>
        <v>-101088.61309999996</v>
      </c>
    </row>
    <row r="166" spans="1:10">
      <c r="A166" s="19" t="s">
        <v>63</v>
      </c>
      <c r="B166" s="18">
        <v>825797.91</v>
      </c>
      <c r="C166" s="18">
        <v>72150.53</v>
      </c>
      <c r="D166" s="19">
        <v>9323</v>
      </c>
      <c r="E166" s="19">
        <v>0.157</v>
      </c>
      <c r="F166" s="19">
        <v>1</v>
      </c>
      <c r="G166" s="19">
        <v>0</v>
      </c>
      <c r="H166" s="19">
        <v>0</v>
      </c>
      <c r="I166">
        <f t="shared" si="4"/>
        <v>896861.80850000004</v>
      </c>
      <c r="J166" s="5">
        <f t="shared" si="5"/>
        <v>-71063.89850000001</v>
      </c>
    </row>
    <row r="167" spans="1:10">
      <c r="A167" s="19" t="s">
        <v>63</v>
      </c>
      <c r="B167" s="18">
        <v>706285.52</v>
      </c>
      <c r="C167" s="18">
        <v>35303.300000000003</v>
      </c>
      <c r="D167" s="19">
        <v>8789</v>
      </c>
      <c r="E167" s="19">
        <v>0.123</v>
      </c>
      <c r="F167" s="19">
        <v>1</v>
      </c>
      <c r="G167" s="19">
        <v>0</v>
      </c>
      <c r="H167" s="19">
        <v>0</v>
      </c>
      <c r="I167">
        <f t="shared" si="4"/>
        <v>524975.55590000015</v>
      </c>
      <c r="J167" s="5">
        <f t="shared" si="5"/>
        <v>181309.96409999987</v>
      </c>
    </row>
    <row r="168" spans="1:10">
      <c r="A168" s="19" t="s">
        <v>63</v>
      </c>
      <c r="B168" s="18">
        <v>665534.69999999995</v>
      </c>
      <c r="C168" s="18">
        <v>30301.86</v>
      </c>
      <c r="D168" s="19">
        <v>6939</v>
      </c>
      <c r="E168" s="19">
        <v>0.09</v>
      </c>
      <c r="F168" s="19">
        <v>1</v>
      </c>
      <c r="G168" s="19">
        <v>0</v>
      </c>
      <c r="H168" s="19">
        <v>0</v>
      </c>
      <c r="I168">
        <f t="shared" si="4"/>
        <v>447101.65380000003</v>
      </c>
      <c r="J168" s="5">
        <f t="shared" si="5"/>
        <v>218433.04619999992</v>
      </c>
    </row>
    <row r="169" spans="1:10">
      <c r="A169" s="19" t="s">
        <v>63</v>
      </c>
      <c r="B169" s="18">
        <v>820729.29</v>
      </c>
      <c r="C169" s="18">
        <v>78432.14</v>
      </c>
      <c r="D169" s="19">
        <v>9440</v>
      </c>
      <c r="E169" s="19">
        <v>0.126</v>
      </c>
      <c r="F169" s="19">
        <v>1</v>
      </c>
      <c r="G169" s="19">
        <v>0</v>
      </c>
      <c r="H169" s="19">
        <v>0</v>
      </c>
      <c r="I169">
        <f t="shared" si="4"/>
        <v>961236.67100000009</v>
      </c>
      <c r="J169" s="5">
        <f t="shared" si="5"/>
        <v>-140507.38100000005</v>
      </c>
    </row>
    <row r="170" spans="1:10">
      <c r="A170" s="19" t="s">
        <v>64</v>
      </c>
      <c r="B170" s="18">
        <v>739831.73</v>
      </c>
      <c r="C170" s="18">
        <v>62059.18</v>
      </c>
      <c r="D170" s="19">
        <v>9374</v>
      </c>
      <c r="E170" s="19">
        <v>0.13600000000000001</v>
      </c>
      <c r="F170" s="19">
        <v>0</v>
      </c>
      <c r="G170" s="19">
        <v>0</v>
      </c>
      <c r="H170" s="19">
        <v>0</v>
      </c>
      <c r="I170">
        <f t="shared" si="4"/>
        <v>797652.32919999992</v>
      </c>
      <c r="J170" s="5">
        <f t="shared" si="5"/>
        <v>-57820.599199999939</v>
      </c>
    </row>
    <row r="171" spans="1:10">
      <c r="A171" s="19" t="s">
        <v>64</v>
      </c>
      <c r="B171" s="18">
        <v>593637.14</v>
      </c>
      <c r="C171" s="18">
        <v>32834.480000000003</v>
      </c>
      <c r="D171" s="19">
        <v>7576</v>
      </c>
      <c r="E171" s="19">
        <v>9.9000000000000005E-2</v>
      </c>
      <c r="F171" s="19">
        <v>0</v>
      </c>
      <c r="G171" s="19">
        <v>0</v>
      </c>
      <c r="H171" s="19">
        <v>0</v>
      </c>
      <c r="I171">
        <f t="shared" si="4"/>
        <v>481328.91710000002</v>
      </c>
      <c r="J171" s="5">
        <f t="shared" si="5"/>
        <v>112308.22289999999</v>
      </c>
    </row>
    <row r="172" spans="1:10">
      <c r="A172" s="19" t="s">
        <v>64</v>
      </c>
      <c r="B172" s="18">
        <v>769702.76</v>
      </c>
      <c r="C172" s="18">
        <v>50825.08</v>
      </c>
      <c r="D172" s="19">
        <v>8949</v>
      </c>
      <c r="E172" s="19">
        <v>0.157</v>
      </c>
      <c r="F172" s="19">
        <v>0</v>
      </c>
      <c r="G172" s="19">
        <v>0</v>
      </c>
      <c r="H172" s="19">
        <v>0</v>
      </c>
      <c r="I172">
        <f t="shared" si="4"/>
        <v>679678.53249999997</v>
      </c>
      <c r="J172" s="5">
        <f t="shared" si="5"/>
        <v>90024.227500000037</v>
      </c>
    </row>
    <row r="173" spans="1:10">
      <c r="A173" s="19" t="s">
        <v>64</v>
      </c>
      <c r="B173" s="18">
        <v>679731.57</v>
      </c>
      <c r="C173" s="18">
        <v>36606.51</v>
      </c>
      <c r="D173" s="19">
        <v>7671</v>
      </c>
      <c r="E173" s="19">
        <v>0.11799999999999999</v>
      </c>
      <c r="F173" s="19">
        <v>0</v>
      </c>
      <c r="G173" s="19">
        <v>0</v>
      </c>
      <c r="H173" s="19">
        <v>0</v>
      </c>
      <c r="I173">
        <f t="shared" si="4"/>
        <v>519789.87420000008</v>
      </c>
      <c r="J173" s="5">
        <f t="shared" si="5"/>
        <v>159941.69579999987</v>
      </c>
    </row>
    <row r="174" spans="1:10">
      <c r="A174" s="19" t="s">
        <v>65</v>
      </c>
      <c r="B174" s="18">
        <v>780344.18</v>
      </c>
      <c r="C174" s="18">
        <v>65237.79</v>
      </c>
      <c r="D174" s="19">
        <v>8741</v>
      </c>
      <c r="E174" s="19">
        <v>0.157</v>
      </c>
      <c r="F174" s="19">
        <v>0</v>
      </c>
      <c r="G174" s="19">
        <v>0</v>
      </c>
      <c r="H174" s="19">
        <v>0</v>
      </c>
      <c r="I174">
        <f t="shared" si="4"/>
        <v>818818.8273</v>
      </c>
      <c r="J174" s="5">
        <f t="shared" si="5"/>
        <v>-38474.647299999953</v>
      </c>
    </row>
    <row r="175" spans="1:10">
      <c r="A175" s="19" t="s">
        <v>65</v>
      </c>
      <c r="B175" s="18">
        <v>721364.11</v>
      </c>
      <c r="C175" s="18">
        <v>43645.98</v>
      </c>
      <c r="D175" s="19">
        <v>9480</v>
      </c>
      <c r="E175" s="19">
        <v>0.109</v>
      </c>
      <c r="F175" s="19">
        <v>0</v>
      </c>
      <c r="G175" s="19">
        <v>0</v>
      </c>
      <c r="H175" s="19">
        <v>0</v>
      </c>
      <c r="I175">
        <f t="shared" si="4"/>
        <v>617808.23010000004</v>
      </c>
      <c r="J175" s="5">
        <f t="shared" si="5"/>
        <v>103555.87989999994</v>
      </c>
    </row>
    <row r="176" spans="1:10">
      <c r="A176" s="19" t="s">
        <v>65</v>
      </c>
      <c r="B176" s="18">
        <v>758138.29</v>
      </c>
      <c r="C176" s="18">
        <v>68040.149999999994</v>
      </c>
      <c r="D176" s="19">
        <v>9826</v>
      </c>
      <c r="E176" s="19">
        <v>0.125</v>
      </c>
      <c r="F176" s="19">
        <v>0</v>
      </c>
      <c r="G176" s="19">
        <v>0</v>
      </c>
      <c r="H176" s="19">
        <v>0</v>
      </c>
      <c r="I176">
        <f t="shared" si="4"/>
        <v>863993.07449999999</v>
      </c>
      <c r="J176" s="5">
        <f t="shared" si="5"/>
        <v>-105854.78449999995</v>
      </c>
    </row>
    <row r="177" spans="1:10">
      <c r="A177" s="19" t="s">
        <v>65</v>
      </c>
      <c r="B177" s="18">
        <v>804264</v>
      </c>
      <c r="C177" s="18">
        <v>63043.94</v>
      </c>
      <c r="D177" s="19">
        <v>10402</v>
      </c>
      <c r="E177" s="19">
        <v>0.159</v>
      </c>
      <c r="F177" s="19">
        <v>0</v>
      </c>
      <c r="G177" s="19">
        <v>0</v>
      </c>
      <c r="H177" s="19">
        <v>0</v>
      </c>
      <c r="I177">
        <f t="shared" si="4"/>
        <v>823123.85990000016</v>
      </c>
      <c r="J177" s="5">
        <f t="shared" si="5"/>
        <v>-18859.859900000156</v>
      </c>
    </row>
    <row r="178" spans="1:10">
      <c r="A178" s="19" t="s">
        <v>66</v>
      </c>
      <c r="B178" s="18">
        <v>887537.75</v>
      </c>
      <c r="C178" s="18">
        <v>67494.09</v>
      </c>
      <c r="D178" s="19">
        <v>12361</v>
      </c>
      <c r="E178" s="19">
        <v>4.5999999999999999E-2</v>
      </c>
      <c r="F178" s="19">
        <v>0</v>
      </c>
      <c r="G178" s="19">
        <v>0</v>
      </c>
      <c r="H178" s="19">
        <v>1</v>
      </c>
      <c r="I178">
        <f t="shared" si="4"/>
        <v>918169.52300000004</v>
      </c>
      <c r="J178" s="5">
        <f t="shared" si="5"/>
        <v>-30631.773000000045</v>
      </c>
    </row>
    <row r="179" spans="1:10">
      <c r="A179" s="19" t="s">
        <v>66</v>
      </c>
      <c r="B179" s="18">
        <v>783582</v>
      </c>
      <c r="C179" s="18">
        <v>29389.32</v>
      </c>
      <c r="D179" s="19">
        <v>7925</v>
      </c>
      <c r="E179" s="19">
        <v>0.17699999999999999</v>
      </c>
      <c r="F179" s="19">
        <v>0</v>
      </c>
      <c r="G179" s="19">
        <v>0</v>
      </c>
      <c r="H179" s="19">
        <v>1</v>
      </c>
      <c r="I179">
        <f t="shared" si="4"/>
        <v>470196.82970000006</v>
      </c>
      <c r="J179" s="5">
        <f t="shared" si="5"/>
        <v>313385.17029999994</v>
      </c>
    </row>
    <row r="180" spans="1:10">
      <c r="A180" s="19" t="s">
        <v>66</v>
      </c>
      <c r="B180" s="18">
        <v>781955.52</v>
      </c>
      <c r="C180" s="18">
        <v>40535.089999999997</v>
      </c>
      <c r="D180" s="19">
        <v>8870</v>
      </c>
      <c r="E180" s="19">
        <v>4.1000000000000002E-2</v>
      </c>
      <c r="F180" s="19">
        <v>0</v>
      </c>
      <c r="G180" s="19">
        <v>0</v>
      </c>
      <c r="H180" s="19">
        <v>1</v>
      </c>
      <c r="I180">
        <f t="shared" si="4"/>
        <v>597223.01650000003</v>
      </c>
      <c r="J180" s="5">
        <f t="shared" si="5"/>
        <v>184732.50349999999</v>
      </c>
    </row>
    <row r="181" spans="1:10">
      <c r="A181" s="19" t="s">
        <v>66</v>
      </c>
      <c r="B181" s="18">
        <v>898031.04</v>
      </c>
      <c r="C181" s="18">
        <v>74881.56</v>
      </c>
      <c r="D181" s="19">
        <v>9999</v>
      </c>
      <c r="E181" s="19">
        <v>1.2999999999999999E-2</v>
      </c>
      <c r="F181" s="19">
        <v>0</v>
      </c>
      <c r="G181" s="19">
        <v>0</v>
      </c>
      <c r="H181" s="19">
        <v>1</v>
      </c>
      <c r="I181">
        <f t="shared" si="4"/>
        <v>954680.13169999991</v>
      </c>
      <c r="J181" s="5">
        <f t="shared" si="5"/>
        <v>-56649.091699999874</v>
      </c>
    </row>
    <row r="182" spans="1:10">
      <c r="A182" s="19" t="s">
        <v>67</v>
      </c>
      <c r="B182" s="18">
        <v>855341.28</v>
      </c>
      <c r="C182" s="18">
        <v>68491.11</v>
      </c>
      <c r="D182" s="19">
        <v>11154</v>
      </c>
      <c r="E182" s="19">
        <v>1E-3</v>
      </c>
      <c r="F182" s="19">
        <v>0</v>
      </c>
      <c r="G182" s="19">
        <v>0</v>
      </c>
      <c r="H182" s="19">
        <v>0</v>
      </c>
      <c r="I182">
        <f t="shared" si="4"/>
        <v>891166.38209999993</v>
      </c>
      <c r="J182" s="5">
        <f t="shared" si="5"/>
        <v>-35825.102099999902</v>
      </c>
    </row>
    <row r="183" spans="1:10">
      <c r="A183" s="19" t="s">
        <v>67</v>
      </c>
      <c r="B183" s="18">
        <v>751393.88</v>
      </c>
      <c r="C183" s="18">
        <v>45209.25</v>
      </c>
      <c r="D183" s="19">
        <v>9287</v>
      </c>
      <c r="E183" s="19">
        <v>0.14099999999999999</v>
      </c>
      <c r="F183" s="19">
        <v>0</v>
      </c>
      <c r="G183" s="19">
        <v>0</v>
      </c>
      <c r="H183" s="19">
        <v>0</v>
      </c>
      <c r="I183">
        <f t="shared" si="4"/>
        <v>629735.12730000005</v>
      </c>
      <c r="J183" s="5">
        <f t="shared" si="5"/>
        <v>121658.75269999995</v>
      </c>
    </row>
    <row r="184" spans="1:10">
      <c r="A184" s="19" t="s">
        <v>67</v>
      </c>
      <c r="B184" s="18">
        <v>761077.08</v>
      </c>
      <c r="C184" s="18">
        <v>63010.23</v>
      </c>
      <c r="D184" s="19">
        <v>9812</v>
      </c>
      <c r="E184" s="19">
        <v>0.113</v>
      </c>
      <c r="F184" s="19">
        <v>0</v>
      </c>
      <c r="G184" s="19">
        <v>0</v>
      </c>
      <c r="H184" s="19">
        <v>0</v>
      </c>
      <c r="I184">
        <f t="shared" si="4"/>
        <v>814264.16130000004</v>
      </c>
      <c r="J184" s="5">
        <f t="shared" si="5"/>
        <v>-53187.081300000078</v>
      </c>
    </row>
    <row r="185" spans="1:10">
      <c r="A185" s="19" t="s">
        <v>67</v>
      </c>
      <c r="B185" s="18">
        <v>819660.59</v>
      </c>
      <c r="C185" s="18">
        <v>57948.88</v>
      </c>
      <c r="D185" s="19">
        <v>10741</v>
      </c>
      <c r="E185" s="19">
        <v>7.0000000000000007E-2</v>
      </c>
      <c r="F185" s="19">
        <v>0</v>
      </c>
      <c r="G185" s="19">
        <v>0</v>
      </c>
      <c r="H185" s="19">
        <v>0</v>
      </c>
      <c r="I185">
        <f t="shared" si="4"/>
        <v>779472.43540000007</v>
      </c>
      <c r="J185" s="5">
        <f t="shared" si="5"/>
        <v>40188.154599999893</v>
      </c>
    </row>
    <row r="186" spans="1:10">
      <c r="A186" s="19" t="s">
        <v>68</v>
      </c>
      <c r="B186" s="18">
        <v>681855.56</v>
      </c>
      <c r="C186" s="18">
        <v>71941.62</v>
      </c>
      <c r="D186" s="19">
        <v>6084</v>
      </c>
      <c r="E186" s="19">
        <v>7.1999999999999995E-2</v>
      </c>
      <c r="F186" s="19">
        <v>0</v>
      </c>
      <c r="G186" s="19">
        <v>1</v>
      </c>
      <c r="H186" s="19">
        <v>0</v>
      </c>
      <c r="I186">
        <f t="shared" si="4"/>
        <v>843699.35719999997</v>
      </c>
      <c r="J186" s="5">
        <f t="shared" si="5"/>
        <v>-161843.79719999991</v>
      </c>
    </row>
    <row r="187" spans="1:10">
      <c r="A187" s="19" t="s">
        <v>68</v>
      </c>
      <c r="B187" s="18">
        <v>678311.17</v>
      </c>
      <c r="C187" s="18">
        <v>57147.88</v>
      </c>
      <c r="D187" s="19">
        <v>5252</v>
      </c>
      <c r="E187" s="19">
        <v>0.161</v>
      </c>
      <c r="F187" s="19">
        <v>0</v>
      </c>
      <c r="G187" s="19">
        <v>1</v>
      </c>
      <c r="H187" s="19">
        <v>0</v>
      </c>
      <c r="I187">
        <f t="shared" si="4"/>
        <v>683129.05769999989</v>
      </c>
      <c r="J187" s="5">
        <f t="shared" si="5"/>
        <v>-4817.8876999998465</v>
      </c>
    </row>
    <row r="188" spans="1:10">
      <c r="A188" s="19" t="s">
        <v>68</v>
      </c>
      <c r="B188" s="18">
        <v>765906.95</v>
      </c>
      <c r="C188" s="18">
        <v>48031.74</v>
      </c>
      <c r="D188" s="19">
        <v>6516</v>
      </c>
      <c r="E188" s="19">
        <v>6.7000000000000004E-2</v>
      </c>
      <c r="F188" s="19">
        <v>0</v>
      </c>
      <c r="G188" s="19">
        <v>1</v>
      </c>
      <c r="H188" s="19">
        <v>0</v>
      </c>
      <c r="I188">
        <f t="shared" si="4"/>
        <v>614312.33630000008</v>
      </c>
      <c r="J188" s="5">
        <f t="shared" si="5"/>
        <v>151594.61369999987</v>
      </c>
    </row>
    <row r="189" spans="1:10">
      <c r="A189" s="19" t="s">
        <v>68</v>
      </c>
      <c r="B189" s="18">
        <v>712546.38</v>
      </c>
      <c r="C189" s="18">
        <v>72784.800000000003</v>
      </c>
      <c r="D189" s="19">
        <v>7932</v>
      </c>
      <c r="E189" s="19">
        <v>9.4E-2</v>
      </c>
      <c r="F189" s="19">
        <v>0</v>
      </c>
      <c r="G189" s="19">
        <v>1</v>
      </c>
      <c r="H189" s="19">
        <v>0</v>
      </c>
      <c r="I189">
        <f t="shared" si="4"/>
        <v>880628.77220000012</v>
      </c>
      <c r="J189" s="5">
        <f t="shared" si="5"/>
        <v>-168082.39220000012</v>
      </c>
    </row>
    <row r="190" spans="1:10">
      <c r="A190" s="19" t="s">
        <v>69</v>
      </c>
      <c r="B190" s="18">
        <v>625993.82999999996</v>
      </c>
      <c r="C190" s="18">
        <v>71641.899999999994</v>
      </c>
      <c r="D190" s="19">
        <v>3506</v>
      </c>
      <c r="E190" s="19">
        <v>0</v>
      </c>
      <c r="F190" s="19">
        <v>0</v>
      </c>
      <c r="G190" s="19">
        <v>1</v>
      </c>
      <c r="H190" s="19">
        <v>0</v>
      </c>
      <c r="I190">
        <f t="shared" si="4"/>
        <v>801482.26199999987</v>
      </c>
      <c r="J190" s="5">
        <f t="shared" si="5"/>
        <v>-175488.43199999991</v>
      </c>
    </row>
    <row r="191" spans="1:10">
      <c r="A191" s="19" t="s">
        <v>69</v>
      </c>
      <c r="B191" s="18">
        <v>550962.93000000005</v>
      </c>
      <c r="C191" s="18">
        <v>55788.61</v>
      </c>
      <c r="D191" s="19">
        <v>2312</v>
      </c>
      <c r="E191" s="19">
        <v>5.8000000000000003E-2</v>
      </c>
      <c r="F191" s="19">
        <v>0</v>
      </c>
      <c r="G191" s="19">
        <v>1</v>
      </c>
      <c r="H191" s="19">
        <v>0</v>
      </c>
      <c r="I191">
        <f t="shared" si="4"/>
        <v>625255.0242000001</v>
      </c>
      <c r="J191" s="5">
        <f t="shared" si="5"/>
        <v>-74292.09420000005</v>
      </c>
    </row>
    <row r="192" spans="1:10">
      <c r="A192" s="19" t="s">
        <v>69</v>
      </c>
      <c r="B192" s="18">
        <v>443275.59</v>
      </c>
      <c r="C192" s="18">
        <v>37705.879999999997</v>
      </c>
      <c r="D192" s="19">
        <v>1268</v>
      </c>
      <c r="E192" s="19">
        <v>0.25900000000000001</v>
      </c>
      <c r="F192" s="19">
        <v>0</v>
      </c>
      <c r="G192" s="19">
        <v>1</v>
      </c>
      <c r="H192" s="19">
        <v>0</v>
      </c>
      <c r="I192">
        <f t="shared" si="4"/>
        <v>427134.17710000003</v>
      </c>
      <c r="J192" s="5">
        <f t="shared" si="5"/>
        <v>16141.412899999996</v>
      </c>
    </row>
    <row r="193" spans="1:10">
      <c r="A193" s="19" t="s">
        <v>69</v>
      </c>
      <c r="B193" s="18">
        <v>554012.06999999995</v>
      </c>
      <c r="C193" s="18">
        <v>54966.18</v>
      </c>
      <c r="D193" s="19">
        <v>4423</v>
      </c>
      <c r="E193" s="19">
        <v>0.186</v>
      </c>
      <c r="F193" s="19">
        <v>0</v>
      </c>
      <c r="G193" s="19">
        <v>1</v>
      </c>
      <c r="H193" s="19">
        <v>0</v>
      </c>
      <c r="I193">
        <f t="shared" si="4"/>
        <v>648204.35420000006</v>
      </c>
      <c r="J193" s="5">
        <f t="shared" si="5"/>
        <v>-94192.284200000111</v>
      </c>
    </row>
    <row r="194" spans="1:10">
      <c r="A194" s="19" t="s">
        <v>70</v>
      </c>
      <c r="B194" s="18">
        <v>643428.85</v>
      </c>
      <c r="C194" s="18">
        <v>81796.740000000005</v>
      </c>
      <c r="D194" s="19">
        <v>6177</v>
      </c>
      <c r="E194" s="19">
        <v>0.16400000000000001</v>
      </c>
      <c r="F194" s="19">
        <v>0</v>
      </c>
      <c r="G194" s="19">
        <v>0</v>
      </c>
      <c r="H194" s="19">
        <v>0</v>
      </c>
      <c r="I194">
        <f t="shared" si="4"/>
        <v>942160.55039999995</v>
      </c>
      <c r="J194" s="5">
        <f t="shared" si="5"/>
        <v>-298731.70039999997</v>
      </c>
    </row>
    <row r="195" spans="1:10">
      <c r="A195" s="19" t="s">
        <v>70</v>
      </c>
      <c r="B195" s="18">
        <v>611924.27</v>
      </c>
      <c r="C195" s="18">
        <v>51133.43</v>
      </c>
      <c r="D195" s="19">
        <v>5150</v>
      </c>
      <c r="E195" s="19">
        <v>0.15</v>
      </c>
      <c r="F195" s="19">
        <v>0</v>
      </c>
      <c r="G195" s="19">
        <v>0</v>
      </c>
      <c r="H195" s="19">
        <v>0</v>
      </c>
      <c r="I195">
        <f t="shared" ref="I195:I258" si="6">39818.07 + (9.88 * C195) + (15.66 * D195) - (15494.7 * E195) + (630.99 * F195) - (1061.74 * G195) + (18649.34 * H195)</f>
        <v>623341.15340000007</v>
      </c>
      <c r="J195" s="5">
        <f t="shared" ref="J195:J258" si="7">B195 - I195</f>
        <v>-11416.88340000005</v>
      </c>
    </row>
    <row r="196" spans="1:10">
      <c r="A196" s="19" t="s">
        <v>70</v>
      </c>
      <c r="B196" s="18">
        <v>559422.02</v>
      </c>
      <c r="C196" s="18">
        <v>40220.18</v>
      </c>
      <c r="D196" s="19">
        <v>3783</v>
      </c>
      <c r="E196" s="19">
        <v>8.8999999999999996E-2</v>
      </c>
      <c r="F196" s="19">
        <v>0</v>
      </c>
      <c r="G196" s="19">
        <v>0</v>
      </c>
      <c r="H196" s="19">
        <v>0</v>
      </c>
      <c r="I196">
        <f t="shared" si="6"/>
        <v>495056.20010000002</v>
      </c>
      <c r="J196" s="5">
        <f t="shared" si="7"/>
        <v>64365.819900000002</v>
      </c>
    </row>
    <row r="197" spans="1:10">
      <c r="A197" s="19" t="s">
        <v>70</v>
      </c>
      <c r="B197" s="18">
        <v>449465.06</v>
      </c>
      <c r="C197" s="18">
        <v>41657.64</v>
      </c>
      <c r="D197" s="19">
        <v>3135</v>
      </c>
      <c r="E197" s="19">
        <v>0.22900000000000001</v>
      </c>
      <c r="F197" s="19">
        <v>0</v>
      </c>
      <c r="G197" s="19">
        <v>0</v>
      </c>
      <c r="H197" s="19">
        <v>0</v>
      </c>
      <c r="I197">
        <f t="shared" si="6"/>
        <v>496941.36690000002</v>
      </c>
      <c r="J197" s="5">
        <f t="shared" si="7"/>
        <v>-47476.306900000025</v>
      </c>
    </row>
    <row r="198" spans="1:10">
      <c r="A198" s="19" t="s">
        <v>71</v>
      </c>
      <c r="B198" s="18">
        <v>691447.43</v>
      </c>
      <c r="C198" s="18">
        <v>71851.45</v>
      </c>
      <c r="D198" s="19">
        <v>4970</v>
      </c>
      <c r="E198" s="19">
        <v>9.8000000000000004E-2</v>
      </c>
      <c r="F198" s="19">
        <v>0</v>
      </c>
      <c r="G198" s="19">
        <v>0</v>
      </c>
      <c r="H198" s="19">
        <v>0</v>
      </c>
      <c r="I198">
        <f t="shared" si="6"/>
        <v>826022.11539999989</v>
      </c>
      <c r="J198" s="5">
        <f t="shared" si="7"/>
        <v>-134574.68539999984</v>
      </c>
    </row>
    <row r="199" spans="1:10">
      <c r="A199" s="19" t="s">
        <v>71</v>
      </c>
      <c r="B199" s="18">
        <v>574066.61</v>
      </c>
      <c r="C199" s="18">
        <v>54002.83</v>
      </c>
      <c r="D199" s="19">
        <v>4366</v>
      </c>
      <c r="E199" s="19">
        <v>2.7E-2</v>
      </c>
      <c r="F199" s="19">
        <v>0</v>
      </c>
      <c r="G199" s="19">
        <v>0</v>
      </c>
      <c r="H199" s="19">
        <v>0</v>
      </c>
      <c r="I199">
        <f t="shared" si="6"/>
        <v>641319.23350000009</v>
      </c>
      <c r="J199" s="5">
        <f t="shared" si="7"/>
        <v>-67252.623500000103</v>
      </c>
    </row>
    <row r="200" spans="1:10">
      <c r="A200" s="19" t="s">
        <v>71</v>
      </c>
      <c r="B200" s="18">
        <v>578949.84</v>
      </c>
      <c r="C200" s="18">
        <v>54479.33</v>
      </c>
      <c r="D200" s="19">
        <v>5012</v>
      </c>
      <c r="E200" s="19">
        <v>0.28399999999999997</v>
      </c>
      <c r="F200" s="19">
        <v>0</v>
      </c>
      <c r="G200" s="19">
        <v>0</v>
      </c>
      <c r="H200" s="19">
        <v>0</v>
      </c>
      <c r="I200">
        <f t="shared" si="6"/>
        <v>652161.27560000005</v>
      </c>
      <c r="J200" s="5">
        <f t="shared" si="7"/>
        <v>-73211.435600000084</v>
      </c>
    </row>
    <row r="201" spans="1:10">
      <c r="A201" s="19" t="s">
        <v>71</v>
      </c>
      <c r="B201" s="18">
        <v>735786.64</v>
      </c>
      <c r="C201" s="18">
        <v>61391.8</v>
      </c>
      <c r="D201" s="19">
        <v>5575</v>
      </c>
      <c r="E201" s="19">
        <v>0.189</v>
      </c>
      <c r="F201" s="19">
        <v>0</v>
      </c>
      <c r="G201" s="19">
        <v>0</v>
      </c>
      <c r="H201" s="19">
        <v>0</v>
      </c>
      <c r="I201">
        <f t="shared" si="6"/>
        <v>730745.05570000003</v>
      </c>
      <c r="J201" s="5">
        <f t="shared" si="7"/>
        <v>5041.5842999999877</v>
      </c>
    </row>
    <row r="202" spans="1:10">
      <c r="A202" s="19" t="s">
        <v>72</v>
      </c>
      <c r="B202" s="18">
        <v>598904.9</v>
      </c>
      <c r="C202" s="18">
        <v>22312.93</v>
      </c>
      <c r="D202" s="19">
        <v>5955</v>
      </c>
      <c r="E202" s="19">
        <v>0.123</v>
      </c>
      <c r="F202" s="19">
        <v>0</v>
      </c>
      <c r="G202" s="19">
        <v>0</v>
      </c>
      <c r="H202" s="19">
        <v>1</v>
      </c>
      <c r="I202">
        <f t="shared" si="6"/>
        <v>370268.61030000006</v>
      </c>
      <c r="J202" s="5">
        <f t="shared" si="7"/>
        <v>228636.28969999996</v>
      </c>
    </row>
    <row r="203" spans="1:10">
      <c r="A203" s="19" t="s">
        <v>72</v>
      </c>
      <c r="B203" s="18">
        <v>787715.51</v>
      </c>
      <c r="C203" s="18">
        <v>78111.97</v>
      </c>
      <c r="D203" s="19">
        <v>6389</v>
      </c>
      <c r="E203" s="19">
        <v>0.15</v>
      </c>
      <c r="F203" s="19">
        <v>0</v>
      </c>
      <c r="G203" s="19">
        <v>0</v>
      </c>
      <c r="H203" s="19">
        <v>1</v>
      </c>
      <c r="I203">
        <f t="shared" si="6"/>
        <v>927941.20860000001</v>
      </c>
      <c r="J203" s="5">
        <f t="shared" si="7"/>
        <v>-140225.6986</v>
      </c>
    </row>
    <row r="204" spans="1:10">
      <c r="A204" s="19" t="s">
        <v>72</v>
      </c>
      <c r="B204" s="18">
        <v>607084.92000000004</v>
      </c>
      <c r="C204" s="18">
        <v>35203.230000000003</v>
      </c>
      <c r="D204" s="19">
        <v>6896</v>
      </c>
      <c r="E204" s="19">
        <v>3.2000000000000001E-2</v>
      </c>
      <c r="F204" s="19">
        <v>0</v>
      </c>
      <c r="G204" s="19">
        <v>0</v>
      </c>
      <c r="H204" s="19">
        <v>1</v>
      </c>
      <c r="I204">
        <f t="shared" si="6"/>
        <v>513770.85200000007</v>
      </c>
      <c r="J204" s="5">
        <f t="shared" si="7"/>
        <v>93314.06799999997</v>
      </c>
    </row>
    <row r="205" spans="1:10">
      <c r="A205" s="19" t="s">
        <v>72</v>
      </c>
      <c r="B205" s="18">
        <v>650795.49</v>
      </c>
      <c r="C205" s="18">
        <v>64104.28</v>
      </c>
      <c r="D205" s="19">
        <v>6015</v>
      </c>
      <c r="E205" s="19">
        <v>0.127</v>
      </c>
      <c r="F205" s="19">
        <v>0</v>
      </c>
      <c r="G205" s="19">
        <v>0</v>
      </c>
      <c r="H205" s="19">
        <v>1</v>
      </c>
      <c r="I205">
        <f t="shared" si="6"/>
        <v>784044.76949999994</v>
      </c>
      <c r="J205" s="5">
        <f t="shared" si="7"/>
        <v>-133249.27949999995</v>
      </c>
    </row>
    <row r="206" spans="1:10">
      <c r="A206" s="19" t="s">
        <v>73</v>
      </c>
      <c r="B206" s="18">
        <v>825060.52</v>
      </c>
      <c r="C206" s="18">
        <v>92090.14</v>
      </c>
      <c r="D206" s="19">
        <v>9476</v>
      </c>
      <c r="E206" s="19">
        <v>7.0000000000000007E-2</v>
      </c>
      <c r="F206" s="19">
        <v>1</v>
      </c>
      <c r="G206" s="19">
        <v>0</v>
      </c>
      <c r="H206" s="19">
        <v>0</v>
      </c>
      <c r="I206">
        <f t="shared" si="6"/>
        <v>1097609.1742</v>
      </c>
      <c r="J206" s="5">
        <f t="shared" si="7"/>
        <v>-272548.65419999999</v>
      </c>
    </row>
    <row r="207" spans="1:10">
      <c r="A207" s="19" t="s">
        <v>73</v>
      </c>
      <c r="B207" s="18">
        <v>795464.47</v>
      </c>
      <c r="C207" s="18">
        <v>54300.87</v>
      </c>
      <c r="D207" s="19">
        <v>7875</v>
      </c>
      <c r="E207" s="19">
        <v>0.107</v>
      </c>
      <c r="F207" s="19">
        <v>1</v>
      </c>
      <c r="G207" s="19">
        <v>0</v>
      </c>
      <c r="H207" s="19">
        <v>0</v>
      </c>
      <c r="I207">
        <f t="shared" si="6"/>
        <v>698606.22270000004</v>
      </c>
      <c r="J207" s="5">
        <f t="shared" si="7"/>
        <v>96858.24729999993</v>
      </c>
    </row>
    <row r="208" spans="1:10">
      <c r="A208" s="19" t="s">
        <v>73</v>
      </c>
      <c r="B208" s="18">
        <v>671868.59</v>
      </c>
      <c r="C208" s="18">
        <v>37983.35</v>
      </c>
      <c r="D208" s="19">
        <v>9283</v>
      </c>
      <c r="E208" s="19">
        <v>0.14899999999999999</v>
      </c>
      <c r="F208" s="19">
        <v>1</v>
      </c>
      <c r="G208" s="19">
        <v>0</v>
      </c>
      <c r="H208" s="19">
        <v>0</v>
      </c>
      <c r="I208">
        <f t="shared" si="6"/>
        <v>558787.62769999995</v>
      </c>
      <c r="J208" s="5">
        <f t="shared" si="7"/>
        <v>113080.96230000001</v>
      </c>
    </row>
    <row r="209" spans="1:10">
      <c r="A209" s="19" t="s">
        <v>73</v>
      </c>
      <c r="B209" s="18">
        <v>675917.63</v>
      </c>
      <c r="C209" s="18">
        <v>56413.83</v>
      </c>
      <c r="D209" s="19">
        <v>8303</v>
      </c>
      <c r="E209" s="19">
        <v>0.11600000000000001</v>
      </c>
      <c r="F209" s="19">
        <v>1</v>
      </c>
      <c r="G209" s="19">
        <v>0</v>
      </c>
      <c r="H209" s="19">
        <v>0</v>
      </c>
      <c r="I209">
        <f t="shared" si="6"/>
        <v>726045.29519999993</v>
      </c>
      <c r="J209" s="5">
        <f t="shared" si="7"/>
        <v>-50127.66519999993</v>
      </c>
    </row>
    <row r="210" spans="1:10">
      <c r="A210" s="19" t="s">
        <v>74</v>
      </c>
      <c r="B210" s="18">
        <v>810446.53</v>
      </c>
      <c r="C210" s="18">
        <v>63457.19</v>
      </c>
      <c r="D210" s="19">
        <v>10125</v>
      </c>
      <c r="E210" s="19">
        <v>9.7000000000000003E-2</v>
      </c>
      <c r="F210" s="19">
        <v>0</v>
      </c>
      <c r="G210" s="19">
        <v>1</v>
      </c>
      <c r="H210" s="19">
        <v>0</v>
      </c>
      <c r="I210">
        <f t="shared" si="6"/>
        <v>822767.88130000001</v>
      </c>
      <c r="J210" s="5">
        <f t="shared" si="7"/>
        <v>-12321.35129999998</v>
      </c>
    </row>
    <row r="211" spans="1:10">
      <c r="A211" s="19" t="s">
        <v>74</v>
      </c>
      <c r="B211" s="18">
        <v>691288.19</v>
      </c>
      <c r="C211" s="18">
        <v>62949.7</v>
      </c>
      <c r="D211" s="19">
        <v>9458</v>
      </c>
      <c r="E211" s="19">
        <v>0.17100000000000001</v>
      </c>
      <c r="F211" s="19">
        <v>0</v>
      </c>
      <c r="G211" s="19">
        <v>1</v>
      </c>
      <c r="H211" s="19">
        <v>0</v>
      </c>
      <c r="I211">
        <f t="shared" si="6"/>
        <v>806162.05229999998</v>
      </c>
      <c r="J211" s="5">
        <f t="shared" si="7"/>
        <v>-114873.86230000004</v>
      </c>
    </row>
    <row r="212" spans="1:10">
      <c r="A212" s="19" t="s">
        <v>74</v>
      </c>
      <c r="B212" s="18">
        <v>946833.54</v>
      </c>
      <c r="C212" s="18">
        <v>107970.19</v>
      </c>
      <c r="D212" s="19">
        <v>12870</v>
      </c>
      <c r="E212" s="19">
        <v>2.9000000000000001E-2</v>
      </c>
      <c r="F212" s="19">
        <v>0</v>
      </c>
      <c r="G212" s="19">
        <v>1</v>
      </c>
      <c r="H212" s="19">
        <v>0</v>
      </c>
      <c r="I212">
        <f t="shared" si="6"/>
        <v>1306596.6609</v>
      </c>
      <c r="J212" s="5">
        <f t="shared" si="7"/>
        <v>-359763.12089999998</v>
      </c>
    </row>
    <row r="213" spans="1:10">
      <c r="A213" s="19" t="s">
        <v>74</v>
      </c>
      <c r="B213" s="18">
        <v>761963.23</v>
      </c>
      <c r="C213" s="18">
        <v>49405.75</v>
      </c>
      <c r="D213" s="19">
        <v>9752</v>
      </c>
      <c r="E213" s="19">
        <v>9.2999999999999999E-2</v>
      </c>
      <c r="F213" s="19">
        <v>0</v>
      </c>
      <c r="G213" s="19">
        <v>1</v>
      </c>
      <c r="H213" s="19">
        <v>0</v>
      </c>
      <c r="I213">
        <f t="shared" si="6"/>
        <v>678160.45289999992</v>
      </c>
      <c r="J213" s="5">
        <f t="shared" si="7"/>
        <v>83802.777100000065</v>
      </c>
    </row>
    <row r="214" spans="1:10">
      <c r="A214" s="19" t="s">
        <v>75</v>
      </c>
      <c r="B214" s="18">
        <v>812152.6</v>
      </c>
      <c r="C214" s="18">
        <v>50887.46</v>
      </c>
      <c r="D214" s="19">
        <v>9505</v>
      </c>
      <c r="E214" s="19">
        <v>9.0999999999999998E-2</v>
      </c>
      <c r="F214" s="19">
        <v>0</v>
      </c>
      <c r="G214" s="19">
        <v>0</v>
      </c>
      <c r="H214" s="19">
        <v>0</v>
      </c>
      <c r="I214">
        <f t="shared" si="6"/>
        <v>690024.4571</v>
      </c>
      <c r="J214" s="5">
        <f t="shared" si="7"/>
        <v>122128.14289999998</v>
      </c>
    </row>
    <row r="215" spans="1:10">
      <c r="A215" s="19" t="s">
        <v>75</v>
      </c>
      <c r="B215" s="18">
        <v>804975.5</v>
      </c>
      <c r="C215" s="18">
        <v>41819.449999999997</v>
      </c>
      <c r="D215" s="19">
        <v>9412</v>
      </c>
      <c r="E215" s="19">
        <v>0.15</v>
      </c>
      <c r="F215" s="19">
        <v>0</v>
      </c>
      <c r="G215" s="19">
        <v>0</v>
      </c>
      <c r="H215" s="19">
        <v>0</v>
      </c>
      <c r="I215">
        <f t="shared" si="6"/>
        <v>598061.95100000012</v>
      </c>
      <c r="J215" s="5">
        <f t="shared" si="7"/>
        <v>206913.54899999988</v>
      </c>
    </row>
    <row r="216" spans="1:10">
      <c r="A216" s="19" t="s">
        <v>75</v>
      </c>
      <c r="B216" s="18">
        <v>752321.72</v>
      </c>
      <c r="C216" s="18">
        <v>35296.54</v>
      </c>
      <c r="D216" s="19">
        <v>9644</v>
      </c>
      <c r="E216" s="19">
        <v>0</v>
      </c>
      <c r="F216" s="19">
        <v>0</v>
      </c>
      <c r="G216" s="19">
        <v>0</v>
      </c>
      <c r="H216" s="19">
        <v>0</v>
      </c>
      <c r="I216">
        <f t="shared" si="6"/>
        <v>539572.92520000006</v>
      </c>
      <c r="J216" s="5">
        <f t="shared" si="7"/>
        <v>212748.79479999992</v>
      </c>
    </row>
    <row r="217" spans="1:10">
      <c r="A217" s="19" t="s">
        <v>75</v>
      </c>
      <c r="B217" s="18">
        <v>836908.24</v>
      </c>
      <c r="C217" s="18">
        <v>47391.09</v>
      </c>
      <c r="D217" s="19">
        <v>11224</v>
      </c>
      <c r="E217" s="19">
        <v>0.14699999999999999</v>
      </c>
      <c r="F217" s="19">
        <v>0</v>
      </c>
      <c r="G217" s="19">
        <v>0</v>
      </c>
      <c r="H217" s="19">
        <v>0</v>
      </c>
      <c r="I217">
        <f t="shared" si="6"/>
        <v>681532.15830000001</v>
      </c>
      <c r="J217" s="5">
        <f t="shared" si="7"/>
        <v>155376.08169999998</v>
      </c>
    </row>
    <row r="218" spans="1:10">
      <c r="A218" s="19" t="s">
        <v>76</v>
      </c>
      <c r="B218" s="18">
        <v>674289.1</v>
      </c>
      <c r="C218" s="18">
        <v>69180.539999999994</v>
      </c>
      <c r="D218" s="19">
        <v>5394</v>
      </c>
      <c r="E218" s="19">
        <v>0.126</v>
      </c>
      <c r="F218" s="19">
        <v>0</v>
      </c>
      <c r="G218" s="19">
        <v>0</v>
      </c>
      <c r="H218" s="19">
        <v>1</v>
      </c>
      <c r="I218">
        <f t="shared" si="6"/>
        <v>824488.853</v>
      </c>
      <c r="J218" s="5">
        <f t="shared" si="7"/>
        <v>-150199.75300000003</v>
      </c>
    </row>
    <row r="219" spans="1:10">
      <c r="A219" s="19" t="s">
        <v>76</v>
      </c>
      <c r="B219" s="18">
        <v>622892.42000000004</v>
      </c>
      <c r="C219" s="18">
        <v>33987.33</v>
      </c>
      <c r="D219" s="19">
        <v>5014</v>
      </c>
      <c r="E219" s="19">
        <v>0.246</v>
      </c>
      <c r="F219" s="19">
        <v>0</v>
      </c>
      <c r="G219" s="19">
        <v>0</v>
      </c>
      <c r="H219" s="19">
        <v>1</v>
      </c>
      <c r="I219">
        <f t="shared" si="6"/>
        <v>468969.77420000004</v>
      </c>
      <c r="J219" s="5">
        <f t="shared" si="7"/>
        <v>153922.6458</v>
      </c>
    </row>
    <row r="220" spans="1:10">
      <c r="A220" s="19" t="s">
        <v>76</v>
      </c>
      <c r="B220" s="18">
        <v>673348.56</v>
      </c>
      <c r="C220" s="18">
        <v>58785.33</v>
      </c>
      <c r="D220" s="19">
        <v>4467</v>
      </c>
      <c r="E220" s="19">
        <v>0.22900000000000001</v>
      </c>
      <c r="F220" s="19">
        <v>0</v>
      </c>
      <c r="G220" s="19">
        <v>0</v>
      </c>
      <c r="H220" s="19">
        <v>1</v>
      </c>
      <c r="I220">
        <f t="shared" si="6"/>
        <v>705671.40409999993</v>
      </c>
      <c r="J220" s="5">
        <f t="shared" si="7"/>
        <v>-32322.844099999871</v>
      </c>
    </row>
    <row r="221" spans="1:10">
      <c r="A221" s="19" t="s">
        <v>76</v>
      </c>
      <c r="B221" s="18">
        <v>606278.30000000005</v>
      </c>
      <c r="C221" s="18">
        <v>16451.849999999999</v>
      </c>
      <c r="D221" s="19">
        <v>4678</v>
      </c>
      <c r="E221" s="19">
        <v>0.13300000000000001</v>
      </c>
      <c r="F221" s="19">
        <v>0</v>
      </c>
      <c r="G221" s="19">
        <v>0</v>
      </c>
      <c r="H221" s="19">
        <v>1</v>
      </c>
      <c r="I221">
        <f t="shared" si="6"/>
        <v>292208.37290000002</v>
      </c>
      <c r="J221" s="5">
        <f t="shared" si="7"/>
        <v>314069.92710000003</v>
      </c>
    </row>
    <row r="222" spans="1:10">
      <c r="A222" s="19" t="s">
        <v>77</v>
      </c>
      <c r="B222" s="18">
        <v>712219.81</v>
      </c>
      <c r="C222" s="18">
        <v>53367.73</v>
      </c>
      <c r="D222" s="19">
        <v>7291</v>
      </c>
      <c r="E222" s="19">
        <v>0.14599999999999999</v>
      </c>
      <c r="F222" s="19">
        <v>0</v>
      </c>
      <c r="G222" s="19">
        <v>1</v>
      </c>
      <c r="H222" s="19">
        <v>0</v>
      </c>
      <c r="I222">
        <f t="shared" si="6"/>
        <v>677944.3361999999</v>
      </c>
      <c r="J222" s="5">
        <f t="shared" si="7"/>
        <v>34275.473800000153</v>
      </c>
    </row>
    <row r="223" spans="1:10">
      <c r="A223" s="19" t="s">
        <v>77</v>
      </c>
      <c r="B223" s="18">
        <v>672670.54</v>
      </c>
      <c r="C223" s="18">
        <v>27194.639999999999</v>
      </c>
      <c r="D223" s="19">
        <v>7404</v>
      </c>
      <c r="E223" s="19">
        <v>8.7999999999999995E-2</v>
      </c>
      <c r="F223" s="19">
        <v>0</v>
      </c>
      <c r="G223" s="19">
        <v>1</v>
      </c>
      <c r="H223" s="19">
        <v>0</v>
      </c>
      <c r="I223">
        <f t="shared" si="6"/>
        <v>422022.47960000002</v>
      </c>
      <c r="J223" s="5">
        <f t="shared" si="7"/>
        <v>250648.06040000002</v>
      </c>
    </row>
    <row r="224" spans="1:10">
      <c r="A224" s="19" t="s">
        <v>77</v>
      </c>
      <c r="B224" s="18">
        <v>732667.92</v>
      </c>
      <c r="C224" s="18">
        <v>66962.740000000005</v>
      </c>
      <c r="D224" s="19">
        <v>7880</v>
      </c>
      <c r="E224" s="19">
        <v>0.11600000000000001</v>
      </c>
      <c r="F224" s="19">
        <v>0</v>
      </c>
      <c r="G224" s="19">
        <v>1</v>
      </c>
      <c r="H224" s="19">
        <v>0</v>
      </c>
      <c r="I224">
        <f t="shared" si="6"/>
        <v>821951.61600000004</v>
      </c>
      <c r="J224" s="5">
        <f t="shared" si="7"/>
        <v>-89283.695999999996</v>
      </c>
    </row>
    <row r="225" spans="1:10">
      <c r="A225" s="19" t="s">
        <v>77</v>
      </c>
      <c r="B225" s="18">
        <v>723531.4</v>
      </c>
      <c r="C225" s="18">
        <v>73540.990000000005</v>
      </c>
      <c r="D225" s="19">
        <v>8773</v>
      </c>
      <c r="E225" s="19">
        <v>3.5000000000000003E-2</v>
      </c>
      <c r="F225" s="19">
        <v>0</v>
      </c>
      <c r="G225" s="19">
        <v>1</v>
      </c>
      <c r="H225" s="19">
        <v>0</v>
      </c>
      <c r="I225">
        <f t="shared" si="6"/>
        <v>902184.17670000007</v>
      </c>
      <c r="J225" s="5">
        <f t="shared" si="7"/>
        <v>-178652.77670000005</v>
      </c>
    </row>
    <row r="226" spans="1:10">
      <c r="A226" s="19" t="s">
        <v>78</v>
      </c>
      <c r="B226" s="18">
        <v>641564.6</v>
      </c>
      <c r="C226" s="18">
        <v>68212.289999999994</v>
      </c>
      <c r="D226" s="19">
        <v>4713</v>
      </c>
      <c r="E226" s="19">
        <v>0.19800000000000001</v>
      </c>
      <c r="F226" s="19">
        <v>1</v>
      </c>
      <c r="G226" s="19">
        <v>0</v>
      </c>
      <c r="H226" s="19">
        <v>0</v>
      </c>
      <c r="I226">
        <f t="shared" si="6"/>
        <v>785124.11459999986</v>
      </c>
      <c r="J226" s="5">
        <f t="shared" si="7"/>
        <v>-143559.51459999988</v>
      </c>
    </row>
    <row r="227" spans="1:10">
      <c r="A227" s="19" t="s">
        <v>78</v>
      </c>
      <c r="B227" s="18">
        <v>536545.49</v>
      </c>
      <c r="C227" s="18">
        <v>57225.98</v>
      </c>
      <c r="D227" s="19">
        <v>2842</v>
      </c>
      <c r="E227" s="19">
        <v>0.112</v>
      </c>
      <c r="F227" s="19">
        <v>1</v>
      </c>
      <c r="G227" s="19">
        <v>0</v>
      </c>
      <c r="H227" s="19">
        <v>0</v>
      </c>
      <c r="I227">
        <f t="shared" si="6"/>
        <v>648612.05599999998</v>
      </c>
      <c r="J227" s="5">
        <f t="shared" si="7"/>
        <v>-112066.56599999999</v>
      </c>
    </row>
    <row r="228" spans="1:10">
      <c r="A228" s="19" t="s">
        <v>78</v>
      </c>
      <c r="B228" s="18">
        <v>527681.56000000006</v>
      </c>
      <c r="C228" s="18">
        <v>42932.02</v>
      </c>
      <c r="D228" s="19">
        <v>3872</v>
      </c>
      <c r="E228" s="19">
        <v>0.17100000000000001</v>
      </c>
      <c r="F228" s="19">
        <v>1</v>
      </c>
      <c r="G228" s="19">
        <v>0</v>
      </c>
      <c r="H228" s="19">
        <v>0</v>
      </c>
      <c r="I228">
        <f t="shared" si="6"/>
        <v>522603.34389999992</v>
      </c>
      <c r="J228" s="5">
        <f t="shared" si="7"/>
        <v>5078.2161000001361</v>
      </c>
    </row>
    <row r="229" spans="1:10">
      <c r="A229" s="19" t="s">
        <v>78</v>
      </c>
      <c r="B229" s="18">
        <v>529598.93999999994</v>
      </c>
      <c r="C229" s="18">
        <v>39341.449999999997</v>
      </c>
      <c r="D229" s="19">
        <v>1375</v>
      </c>
      <c r="E229" s="19">
        <v>9.2999999999999999E-2</v>
      </c>
      <c r="F229" s="19">
        <v>1</v>
      </c>
      <c r="G229" s="19">
        <v>0</v>
      </c>
      <c r="H229" s="19">
        <v>0</v>
      </c>
      <c r="I229">
        <f t="shared" si="6"/>
        <v>449234.07890000002</v>
      </c>
      <c r="J229" s="5">
        <f t="shared" si="7"/>
        <v>80364.861099999922</v>
      </c>
    </row>
    <row r="230" spans="1:10">
      <c r="A230" s="19" t="s">
        <v>79</v>
      </c>
      <c r="B230" s="18">
        <v>570963.31000000006</v>
      </c>
      <c r="C230" s="18">
        <v>37324.230000000003</v>
      </c>
      <c r="D230" s="19">
        <v>5957</v>
      </c>
      <c r="E230" s="19">
        <v>7.0999999999999994E-2</v>
      </c>
      <c r="F230" s="19">
        <v>0</v>
      </c>
      <c r="G230" s="19">
        <v>1</v>
      </c>
      <c r="H230" s="19">
        <v>0</v>
      </c>
      <c r="I230">
        <f t="shared" si="6"/>
        <v>499706.21870000008</v>
      </c>
      <c r="J230" s="5">
        <f t="shared" si="7"/>
        <v>71257.091299999971</v>
      </c>
    </row>
    <row r="231" spans="1:10">
      <c r="A231" s="19" t="s">
        <v>79</v>
      </c>
      <c r="B231" s="18">
        <v>870937.4</v>
      </c>
      <c r="C231" s="18">
        <v>113736</v>
      </c>
      <c r="D231" s="19">
        <v>8961</v>
      </c>
      <c r="E231" s="19">
        <v>0.20200000000000001</v>
      </c>
      <c r="F231" s="19">
        <v>0</v>
      </c>
      <c r="G231" s="19">
        <v>1</v>
      </c>
      <c r="H231" s="19">
        <v>0</v>
      </c>
      <c r="I231">
        <f t="shared" si="6"/>
        <v>1299667.3406000002</v>
      </c>
      <c r="J231" s="5">
        <f t="shared" si="7"/>
        <v>-428729.94060000021</v>
      </c>
    </row>
    <row r="232" spans="1:10">
      <c r="A232" s="19" t="s">
        <v>79</v>
      </c>
      <c r="B232" s="18">
        <v>596969.27</v>
      </c>
      <c r="C232" s="18">
        <v>33173.949999999997</v>
      </c>
      <c r="D232" s="19">
        <v>6545</v>
      </c>
      <c r="E232" s="19">
        <v>0.16900000000000001</v>
      </c>
      <c r="F232" s="19">
        <v>0</v>
      </c>
      <c r="G232" s="19">
        <v>1</v>
      </c>
      <c r="H232" s="19">
        <v>0</v>
      </c>
      <c r="I232">
        <f t="shared" si="6"/>
        <v>466391.05170000001</v>
      </c>
      <c r="J232" s="5">
        <f t="shared" si="7"/>
        <v>130578.21830000001</v>
      </c>
    </row>
    <row r="233" spans="1:10">
      <c r="A233" s="19" t="s">
        <v>79</v>
      </c>
      <c r="B233" s="18">
        <v>647512.85</v>
      </c>
      <c r="C233" s="18">
        <v>25818.080000000002</v>
      </c>
      <c r="D233" s="19">
        <v>5457</v>
      </c>
      <c r="E233" s="19">
        <v>0</v>
      </c>
      <c r="F233" s="19">
        <v>0</v>
      </c>
      <c r="G233" s="19">
        <v>1</v>
      </c>
      <c r="H233" s="19">
        <v>0</v>
      </c>
      <c r="I233">
        <f t="shared" si="6"/>
        <v>379295.58040000004</v>
      </c>
      <c r="J233" s="5">
        <f t="shared" si="7"/>
        <v>268217.26959999994</v>
      </c>
    </row>
    <row r="234" spans="1:10">
      <c r="A234" s="19" t="s">
        <v>80</v>
      </c>
      <c r="B234" s="18">
        <v>658072.14</v>
      </c>
      <c r="C234" s="18">
        <v>47241.919999999998</v>
      </c>
      <c r="D234" s="19">
        <v>4264</v>
      </c>
      <c r="E234" s="19">
        <v>6.9000000000000006E-2</v>
      </c>
      <c r="F234" s="19">
        <v>0</v>
      </c>
      <c r="G234" s="19">
        <v>0</v>
      </c>
      <c r="H234" s="19">
        <v>0</v>
      </c>
      <c r="I234">
        <f t="shared" si="6"/>
        <v>572273.34530000004</v>
      </c>
      <c r="J234" s="5">
        <f t="shared" si="7"/>
        <v>85798.794699999969</v>
      </c>
    </row>
    <row r="235" spans="1:10">
      <c r="A235" s="19" t="s">
        <v>80</v>
      </c>
      <c r="B235" s="18">
        <v>723305.11</v>
      </c>
      <c r="C235" s="18">
        <v>61650.79</v>
      </c>
      <c r="D235" s="19">
        <v>5321</v>
      </c>
      <c r="E235" s="19">
        <v>0.126</v>
      </c>
      <c r="F235" s="19">
        <v>0</v>
      </c>
      <c r="G235" s="19">
        <v>0</v>
      </c>
      <c r="H235" s="19">
        <v>0</v>
      </c>
      <c r="I235">
        <f t="shared" si="6"/>
        <v>730302.40300000005</v>
      </c>
      <c r="J235" s="5">
        <f t="shared" si="7"/>
        <v>-6997.2930000000633</v>
      </c>
    </row>
    <row r="236" spans="1:10">
      <c r="A236" s="19" t="s">
        <v>80</v>
      </c>
      <c r="B236" s="18">
        <v>640666.53</v>
      </c>
      <c r="C236" s="18">
        <v>62582.71</v>
      </c>
      <c r="D236" s="19">
        <v>5479</v>
      </c>
      <c r="E236" s="19">
        <v>4.8000000000000001E-2</v>
      </c>
      <c r="F236" s="19">
        <v>0</v>
      </c>
      <c r="G236" s="19">
        <v>0</v>
      </c>
      <c r="H236" s="19">
        <v>0</v>
      </c>
      <c r="I236">
        <f t="shared" si="6"/>
        <v>743192.63919999998</v>
      </c>
      <c r="J236" s="5">
        <f t="shared" si="7"/>
        <v>-102526.10919999995</v>
      </c>
    </row>
    <row r="237" spans="1:10">
      <c r="A237" s="19" t="s">
        <v>80</v>
      </c>
      <c r="B237" s="18">
        <v>670629.48</v>
      </c>
      <c r="C237" s="18">
        <v>47944.14</v>
      </c>
      <c r="D237" s="19">
        <v>6169</v>
      </c>
      <c r="E237" s="19">
        <v>0.11899999999999999</v>
      </c>
      <c r="F237" s="19">
        <v>0</v>
      </c>
      <c r="G237" s="19">
        <v>0</v>
      </c>
      <c r="H237" s="19">
        <v>0</v>
      </c>
      <c r="I237">
        <f t="shared" si="6"/>
        <v>608268.84389999998</v>
      </c>
      <c r="J237" s="5">
        <f t="shared" si="7"/>
        <v>62360.636100000003</v>
      </c>
    </row>
    <row r="238" spans="1:10">
      <c r="A238" s="19" t="s">
        <v>81</v>
      </c>
      <c r="B238" s="18">
        <v>721079.35</v>
      </c>
      <c r="C238" s="18">
        <v>46495.4</v>
      </c>
      <c r="D238" s="19">
        <v>9908</v>
      </c>
      <c r="E238" s="19">
        <v>0.121</v>
      </c>
      <c r="F238" s="19">
        <v>1</v>
      </c>
      <c r="G238" s="19">
        <v>0</v>
      </c>
      <c r="H238" s="19">
        <v>0</v>
      </c>
      <c r="I238">
        <f t="shared" si="6"/>
        <v>653108.03330000001</v>
      </c>
      <c r="J238" s="5">
        <f t="shared" si="7"/>
        <v>67971.316699999967</v>
      </c>
    </row>
    <row r="239" spans="1:10">
      <c r="A239" s="19" t="s">
        <v>81</v>
      </c>
      <c r="B239" s="18">
        <v>810355.02</v>
      </c>
      <c r="C239" s="18">
        <v>72961.95</v>
      </c>
      <c r="D239" s="19">
        <v>9996</v>
      </c>
      <c r="E239" s="19">
        <v>0.106</v>
      </c>
      <c r="F239" s="19">
        <v>1</v>
      </c>
      <c r="G239" s="19">
        <v>0</v>
      </c>
      <c r="H239" s="19">
        <v>0</v>
      </c>
      <c r="I239">
        <f t="shared" si="6"/>
        <v>916208.04779999994</v>
      </c>
      <c r="J239" s="5">
        <f t="shared" si="7"/>
        <v>-105853.02779999992</v>
      </c>
    </row>
    <row r="240" spans="1:10">
      <c r="A240" s="19" t="s">
        <v>81</v>
      </c>
      <c r="B240" s="18">
        <v>761919.25</v>
      </c>
      <c r="C240" s="18">
        <v>59060.05</v>
      </c>
      <c r="D240" s="19">
        <v>9702</v>
      </c>
      <c r="E240" s="19">
        <v>0.20100000000000001</v>
      </c>
      <c r="F240" s="19">
        <v>1</v>
      </c>
      <c r="G240" s="19">
        <v>0</v>
      </c>
      <c r="H240" s="19">
        <v>0</v>
      </c>
      <c r="I240">
        <f t="shared" si="6"/>
        <v>772781.23930000013</v>
      </c>
      <c r="J240" s="5">
        <f t="shared" si="7"/>
        <v>-10861.989300000132</v>
      </c>
    </row>
    <row r="241" spans="1:10">
      <c r="A241" s="19" t="s">
        <v>81</v>
      </c>
      <c r="B241" s="18">
        <v>737070.18</v>
      </c>
      <c r="C241" s="18">
        <v>26248.1</v>
      </c>
      <c r="D241" s="19">
        <v>9314</v>
      </c>
      <c r="E241" s="19">
        <v>0.186</v>
      </c>
      <c r="F241" s="19">
        <v>1</v>
      </c>
      <c r="G241" s="19">
        <v>0</v>
      </c>
      <c r="H241" s="19">
        <v>0</v>
      </c>
      <c r="I241">
        <f t="shared" si="6"/>
        <v>442755.51380000002</v>
      </c>
      <c r="J241" s="5">
        <f t="shared" si="7"/>
        <v>294314.66620000004</v>
      </c>
    </row>
    <row r="242" spans="1:10">
      <c r="A242" s="19" t="s">
        <v>82</v>
      </c>
      <c r="B242" s="18">
        <v>776992.93</v>
      </c>
      <c r="C242" s="18">
        <v>69900.12</v>
      </c>
      <c r="D242" s="19">
        <v>8055</v>
      </c>
      <c r="E242" s="19">
        <v>0.28100000000000003</v>
      </c>
      <c r="F242" s="19">
        <v>0</v>
      </c>
      <c r="G242" s="19">
        <v>0</v>
      </c>
      <c r="H242" s="19">
        <v>1</v>
      </c>
      <c r="I242">
        <f t="shared" si="6"/>
        <v>870867.88489999995</v>
      </c>
      <c r="J242" s="5">
        <f t="shared" si="7"/>
        <v>-93874.954899999895</v>
      </c>
    </row>
    <row r="243" spans="1:10">
      <c r="A243" s="19" t="s">
        <v>82</v>
      </c>
      <c r="B243" s="18">
        <v>676337.41</v>
      </c>
      <c r="C243" s="18">
        <v>51781.599999999999</v>
      </c>
      <c r="D243" s="19">
        <v>5648</v>
      </c>
      <c r="E243" s="19">
        <v>5.8999999999999997E-2</v>
      </c>
      <c r="F243" s="19">
        <v>0</v>
      </c>
      <c r="G243" s="19">
        <v>0</v>
      </c>
      <c r="H243" s="19">
        <v>1</v>
      </c>
      <c r="I243">
        <f t="shared" si="6"/>
        <v>657603.11070000008</v>
      </c>
      <c r="J243" s="5">
        <f t="shared" si="7"/>
        <v>18734.299299999955</v>
      </c>
    </row>
    <row r="244" spans="1:10">
      <c r="A244" s="19" t="s">
        <v>82</v>
      </c>
      <c r="B244" s="18">
        <v>828219.67</v>
      </c>
      <c r="C244" s="18">
        <v>70799.64</v>
      </c>
      <c r="D244" s="19">
        <v>10076</v>
      </c>
      <c r="E244" s="19">
        <v>0.152</v>
      </c>
      <c r="F244" s="19">
        <v>0</v>
      </c>
      <c r="G244" s="19">
        <v>0</v>
      </c>
      <c r="H244" s="19">
        <v>1</v>
      </c>
      <c r="I244">
        <f t="shared" si="6"/>
        <v>913402.81880000001</v>
      </c>
      <c r="J244" s="5">
        <f t="shared" si="7"/>
        <v>-85183.148799999966</v>
      </c>
    </row>
    <row r="245" spans="1:10">
      <c r="A245" s="19" t="s">
        <v>82</v>
      </c>
      <c r="B245" s="18">
        <v>763159.92</v>
      </c>
      <c r="C245" s="18">
        <v>53546.34</v>
      </c>
      <c r="D245" s="19">
        <v>8004</v>
      </c>
      <c r="E245" s="19">
        <v>0</v>
      </c>
      <c r="F245" s="19">
        <v>0</v>
      </c>
      <c r="G245" s="19">
        <v>0</v>
      </c>
      <c r="H245" s="19">
        <v>1</v>
      </c>
      <c r="I245">
        <f t="shared" si="6"/>
        <v>712847.88919999998</v>
      </c>
      <c r="J245" s="5">
        <f t="shared" si="7"/>
        <v>50312.030800000066</v>
      </c>
    </row>
    <row r="246" spans="1:10">
      <c r="A246" s="19" t="s">
        <v>83</v>
      </c>
      <c r="B246" s="18">
        <v>802001.68</v>
      </c>
      <c r="C246" s="18">
        <v>76942.2</v>
      </c>
      <c r="D246" s="19">
        <v>8934</v>
      </c>
      <c r="E246" s="19">
        <v>8.4000000000000005E-2</v>
      </c>
      <c r="F246" s="19">
        <v>0</v>
      </c>
      <c r="G246" s="19">
        <v>1</v>
      </c>
      <c r="H246" s="19">
        <v>0</v>
      </c>
      <c r="I246">
        <f t="shared" si="6"/>
        <v>937550.15119999996</v>
      </c>
      <c r="J246" s="5">
        <f t="shared" si="7"/>
        <v>-135548.47119999991</v>
      </c>
    </row>
    <row r="247" spans="1:10">
      <c r="A247" s="19" t="s">
        <v>83</v>
      </c>
      <c r="B247" s="18">
        <v>750471.34</v>
      </c>
      <c r="C247" s="18">
        <v>48060.78</v>
      </c>
      <c r="D247" s="19">
        <v>8733</v>
      </c>
      <c r="E247" s="19">
        <v>0</v>
      </c>
      <c r="F247" s="19">
        <v>0</v>
      </c>
      <c r="G247" s="19">
        <v>1</v>
      </c>
      <c r="H247" s="19">
        <v>0</v>
      </c>
      <c r="I247">
        <f t="shared" si="6"/>
        <v>650355.61640000006</v>
      </c>
      <c r="J247" s="5">
        <f t="shared" si="7"/>
        <v>100115.72359999991</v>
      </c>
    </row>
    <row r="248" spans="1:10">
      <c r="A248" s="19" t="s">
        <v>83</v>
      </c>
      <c r="B248" s="18">
        <v>679230.86</v>
      </c>
      <c r="C248" s="18">
        <v>57390.04</v>
      </c>
      <c r="D248" s="19">
        <v>7374</v>
      </c>
      <c r="E248" s="19">
        <v>0.21</v>
      </c>
      <c r="F248" s="19">
        <v>0</v>
      </c>
      <c r="G248" s="19">
        <v>1</v>
      </c>
      <c r="H248" s="19">
        <v>0</v>
      </c>
      <c r="I248">
        <f t="shared" si="6"/>
        <v>717992.87820000004</v>
      </c>
      <c r="J248" s="5">
        <f t="shared" si="7"/>
        <v>-38762.01820000005</v>
      </c>
    </row>
    <row r="249" spans="1:10">
      <c r="A249" s="19" t="s">
        <v>83</v>
      </c>
      <c r="B249" s="18">
        <v>679888.74</v>
      </c>
      <c r="C249" s="18">
        <v>21536.18</v>
      </c>
      <c r="D249" s="19">
        <v>8119</v>
      </c>
      <c r="E249" s="19">
        <v>0.22700000000000001</v>
      </c>
      <c r="F249" s="19">
        <v>0</v>
      </c>
      <c r="G249" s="19">
        <v>1</v>
      </c>
      <c r="H249" s="19">
        <v>0</v>
      </c>
      <c r="I249">
        <f t="shared" si="6"/>
        <v>375160.03150000004</v>
      </c>
      <c r="J249" s="5">
        <f t="shared" si="7"/>
        <v>304728.70849999995</v>
      </c>
    </row>
    <row r="250" spans="1:10">
      <c r="A250" s="19" t="s">
        <v>84</v>
      </c>
      <c r="B250" s="18">
        <v>606783.67000000004</v>
      </c>
      <c r="C250" s="18">
        <v>40923.67</v>
      </c>
      <c r="D250" s="19">
        <v>3875</v>
      </c>
      <c r="E250" s="19">
        <v>0.15</v>
      </c>
      <c r="F250" s="19">
        <v>0</v>
      </c>
      <c r="G250" s="19">
        <v>1</v>
      </c>
      <c r="H250" s="19">
        <v>0</v>
      </c>
      <c r="I250">
        <f t="shared" si="6"/>
        <v>501440.48460000003</v>
      </c>
      <c r="J250" s="5">
        <f t="shared" si="7"/>
        <v>105343.18540000002</v>
      </c>
    </row>
    <row r="251" spans="1:10">
      <c r="A251" s="19" t="s">
        <v>84</v>
      </c>
      <c r="B251" s="18">
        <v>642751.42000000004</v>
      </c>
      <c r="C251" s="18">
        <v>72932.55</v>
      </c>
      <c r="D251" s="19">
        <v>5765</v>
      </c>
      <c r="E251" s="19">
        <v>2.5999999999999999E-2</v>
      </c>
      <c r="F251" s="19">
        <v>0</v>
      </c>
      <c r="G251" s="19">
        <v>1</v>
      </c>
      <c r="H251" s="19">
        <v>0</v>
      </c>
      <c r="I251">
        <f t="shared" si="6"/>
        <v>849206.96180000005</v>
      </c>
      <c r="J251" s="5">
        <f t="shared" si="7"/>
        <v>-206455.54180000001</v>
      </c>
    </row>
    <row r="252" spans="1:10">
      <c r="A252" s="19" t="s">
        <v>84</v>
      </c>
      <c r="B252" s="18">
        <v>647953.78</v>
      </c>
      <c r="C252" s="18">
        <v>38361.93</v>
      </c>
      <c r="D252" s="19">
        <v>6322</v>
      </c>
      <c r="E252" s="19">
        <v>0.27300000000000002</v>
      </c>
      <c r="F252" s="19">
        <v>0</v>
      </c>
      <c r="G252" s="19">
        <v>1</v>
      </c>
      <c r="H252" s="19">
        <v>0</v>
      </c>
      <c r="I252">
        <f t="shared" si="6"/>
        <v>512544.66530000005</v>
      </c>
      <c r="J252" s="5">
        <f t="shared" si="7"/>
        <v>135409.11469999998</v>
      </c>
    </row>
    <row r="253" spans="1:10">
      <c r="A253" s="19" t="s">
        <v>84</v>
      </c>
      <c r="B253" s="18">
        <v>729440.45</v>
      </c>
      <c r="C253" s="18">
        <v>97480.94</v>
      </c>
      <c r="D253" s="19">
        <v>6840</v>
      </c>
      <c r="E253" s="19">
        <v>8.6999999999999994E-2</v>
      </c>
      <c r="F253" s="19">
        <v>0</v>
      </c>
      <c r="G253" s="19">
        <v>1</v>
      </c>
      <c r="H253" s="19">
        <v>0</v>
      </c>
      <c r="I253">
        <f t="shared" si="6"/>
        <v>1107634.3783</v>
      </c>
      <c r="J253" s="5">
        <f t="shared" si="7"/>
        <v>-378193.92830000003</v>
      </c>
    </row>
    <row r="254" spans="1:10">
      <c r="A254" s="19" t="s">
        <v>85</v>
      </c>
      <c r="B254" s="18">
        <v>764949</v>
      </c>
      <c r="C254" s="18">
        <v>81801.8</v>
      </c>
      <c r="D254" s="19">
        <v>6782</v>
      </c>
      <c r="E254" s="19">
        <v>0.05</v>
      </c>
      <c r="F254" s="19">
        <v>0</v>
      </c>
      <c r="G254" s="19">
        <v>0</v>
      </c>
      <c r="H254" s="19">
        <v>1</v>
      </c>
      <c r="I254">
        <f t="shared" si="6"/>
        <v>972100.57900000003</v>
      </c>
      <c r="J254" s="5">
        <f t="shared" si="7"/>
        <v>-207151.57900000003</v>
      </c>
    </row>
    <row r="255" spans="1:10">
      <c r="A255" s="19" t="s">
        <v>85</v>
      </c>
      <c r="B255" s="18">
        <v>799046.94</v>
      </c>
      <c r="C255" s="18">
        <v>63582.11</v>
      </c>
      <c r="D255" s="19">
        <v>6856</v>
      </c>
      <c r="E255" s="19">
        <v>7.3999999999999996E-2</v>
      </c>
      <c r="F255" s="19">
        <v>0</v>
      </c>
      <c r="G255" s="19">
        <v>0</v>
      </c>
      <c r="H255" s="19">
        <v>1</v>
      </c>
      <c r="I255">
        <f t="shared" si="6"/>
        <v>792877.00899999996</v>
      </c>
      <c r="J255" s="5">
        <f t="shared" si="7"/>
        <v>6169.9309999999823</v>
      </c>
    </row>
    <row r="256" spans="1:10">
      <c r="A256" s="19" t="s">
        <v>85</v>
      </c>
      <c r="B256" s="18">
        <v>720079.54</v>
      </c>
      <c r="C256" s="18">
        <v>75412.740000000005</v>
      </c>
      <c r="D256" s="19">
        <v>5641</v>
      </c>
      <c r="E256" s="19">
        <v>5.8999999999999997E-2</v>
      </c>
      <c r="F256" s="19">
        <v>0</v>
      </c>
      <c r="G256" s="19">
        <v>0</v>
      </c>
      <c r="H256" s="19">
        <v>1</v>
      </c>
      <c r="I256">
        <f t="shared" si="6"/>
        <v>890969.15390000003</v>
      </c>
      <c r="J256" s="5">
        <f t="shared" si="7"/>
        <v>-170889.6139</v>
      </c>
    </row>
    <row r="257" spans="1:10">
      <c r="A257" s="19" t="s">
        <v>85</v>
      </c>
      <c r="B257" s="18">
        <v>612390.14</v>
      </c>
      <c r="C257" s="18">
        <v>36290.080000000002</v>
      </c>
      <c r="D257" s="19">
        <v>5787</v>
      </c>
      <c r="E257" s="19">
        <v>0</v>
      </c>
      <c r="F257" s="19">
        <v>0</v>
      </c>
      <c r="G257" s="19">
        <v>0</v>
      </c>
      <c r="H257" s="19">
        <v>1</v>
      </c>
      <c r="I257">
        <f t="shared" si="6"/>
        <v>507637.82040000008</v>
      </c>
      <c r="J257" s="5">
        <f t="shared" si="7"/>
        <v>104752.31959999993</v>
      </c>
    </row>
    <row r="258" spans="1:10">
      <c r="A258" s="19" t="s">
        <v>86</v>
      </c>
      <c r="B258" s="18">
        <v>840108.12</v>
      </c>
      <c r="C258" s="18">
        <v>65272.58</v>
      </c>
      <c r="D258" s="19">
        <v>8165</v>
      </c>
      <c r="E258" s="19">
        <v>5.0999999999999997E-2</v>
      </c>
      <c r="F258" s="19">
        <v>1</v>
      </c>
      <c r="G258" s="19">
        <v>0</v>
      </c>
      <c r="H258" s="19">
        <v>0</v>
      </c>
      <c r="I258">
        <f t="shared" si="6"/>
        <v>812415.82070000004</v>
      </c>
      <c r="J258" s="5">
        <f t="shared" si="7"/>
        <v>27692.299299999955</v>
      </c>
    </row>
    <row r="259" spans="1:10">
      <c r="A259" s="19" t="s">
        <v>86</v>
      </c>
      <c r="B259" s="18">
        <v>697888.09</v>
      </c>
      <c r="C259" s="18">
        <v>28670.43</v>
      </c>
      <c r="D259" s="19">
        <v>7574</v>
      </c>
      <c r="E259" s="19">
        <v>0.114</v>
      </c>
      <c r="F259" s="19">
        <v>1</v>
      </c>
      <c r="G259" s="19">
        <v>0</v>
      </c>
      <c r="H259" s="19">
        <v>0</v>
      </c>
      <c r="I259">
        <f t="shared" ref="I259:I321" si="8">39818.07 + (9.88 * C259) + (15.66 * D259) - (15494.7 * E259) + (630.99 * F259) - (1061.74 * G259) + (18649.34 * H259)</f>
        <v>440555.35260000004</v>
      </c>
      <c r="J259" s="5">
        <f t="shared" ref="J259:J321" si="9">B259 - I259</f>
        <v>257332.73739999993</v>
      </c>
    </row>
    <row r="260" spans="1:10">
      <c r="A260" s="19" t="s">
        <v>86</v>
      </c>
      <c r="B260" s="18">
        <v>746115.59</v>
      </c>
      <c r="C260" s="18">
        <v>44189.34</v>
      </c>
      <c r="D260" s="19">
        <v>8634</v>
      </c>
      <c r="E260" s="19">
        <v>0.14299999999999999</v>
      </c>
      <c r="F260" s="19">
        <v>1</v>
      </c>
      <c r="G260" s="19">
        <v>0</v>
      </c>
      <c r="H260" s="19">
        <v>0</v>
      </c>
      <c r="I260">
        <f t="shared" si="8"/>
        <v>610032.43709999998</v>
      </c>
      <c r="J260" s="5">
        <f t="shared" si="9"/>
        <v>136083.15289999999</v>
      </c>
    </row>
    <row r="261" spans="1:10">
      <c r="A261" s="19" t="s">
        <v>86</v>
      </c>
      <c r="B261" s="18">
        <v>776110.32</v>
      </c>
      <c r="C261" s="18">
        <v>38397.82</v>
      </c>
      <c r="D261" s="19">
        <v>7836</v>
      </c>
      <c r="E261" s="19">
        <v>7.0000000000000001E-3</v>
      </c>
      <c r="F261" s="19">
        <v>1</v>
      </c>
      <c r="G261" s="19">
        <v>0</v>
      </c>
      <c r="H261" s="19">
        <v>0</v>
      </c>
      <c r="I261">
        <f t="shared" si="8"/>
        <v>542422.81869999995</v>
      </c>
      <c r="J261" s="5">
        <f t="shared" si="9"/>
        <v>233687.5013</v>
      </c>
    </row>
    <row r="262" spans="1:10">
      <c r="A262" s="19" t="s">
        <v>87</v>
      </c>
      <c r="B262" s="18">
        <v>528852.62</v>
      </c>
      <c r="C262" s="18">
        <v>14519.37</v>
      </c>
      <c r="D262" s="19">
        <v>3047</v>
      </c>
      <c r="E262" s="19">
        <v>0.13500000000000001</v>
      </c>
      <c r="F262" s="19">
        <v>0</v>
      </c>
      <c r="G262" s="19">
        <v>1</v>
      </c>
      <c r="H262" s="19">
        <v>0</v>
      </c>
      <c r="I262">
        <f t="shared" si="8"/>
        <v>227831.94110000003</v>
      </c>
      <c r="J262" s="5">
        <f t="shared" si="9"/>
        <v>301020.67889999994</v>
      </c>
    </row>
    <row r="263" spans="1:10">
      <c r="A263" s="19" t="s">
        <v>87</v>
      </c>
      <c r="B263" s="18">
        <v>605751.32999999996</v>
      </c>
      <c r="C263" s="18">
        <v>43288.2</v>
      </c>
      <c r="D263" s="19">
        <v>4783</v>
      </c>
      <c r="E263" s="19">
        <v>0.16900000000000001</v>
      </c>
      <c r="F263" s="19">
        <v>0</v>
      </c>
      <c r="G263" s="19">
        <v>1</v>
      </c>
      <c r="H263" s="19">
        <v>0</v>
      </c>
      <c r="I263">
        <f t="shared" si="8"/>
        <v>538726.92170000006</v>
      </c>
      <c r="J263" s="5">
        <f t="shared" si="9"/>
        <v>67024.408299999894</v>
      </c>
    </row>
    <row r="264" spans="1:10">
      <c r="A264" s="19" t="s">
        <v>87</v>
      </c>
      <c r="B264" s="18">
        <v>677640.65</v>
      </c>
      <c r="C264" s="18">
        <v>51450.55</v>
      </c>
      <c r="D264" s="19">
        <v>4902</v>
      </c>
      <c r="E264" s="19">
        <v>8.5999999999999993E-2</v>
      </c>
      <c r="F264" s="19">
        <v>0</v>
      </c>
      <c r="G264" s="19">
        <v>1</v>
      </c>
      <c r="H264" s="19">
        <v>0</v>
      </c>
      <c r="I264">
        <f t="shared" si="8"/>
        <v>622520.53980000003</v>
      </c>
      <c r="J264" s="5">
        <f t="shared" si="9"/>
        <v>55120.110199999996</v>
      </c>
    </row>
    <row r="265" spans="1:10">
      <c r="A265" s="19" t="s">
        <v>87</v>
      </c>
      <c r="B265" s="18">
        <v>636613.23</v>
      </c>
      <c r="C265" s="18">
        <v>58688.26</v>
      </c>
      <c r="D265" s="19">
        <v>4022</v>
      </c>
      <c r="E265" s="19">
        <v>0.217</v>
      </c>
      <c r="F265" s="19">
        <v>0</v>
      </c>
      <c r="G265" s="19">
        <v>1</v>
      </c>
      <c r="H265" s="19">
        <v>0</v>
      </c>
      <c r="I265">
        <f t="shared" si="8"/>
        <v>678218.50890000002</v>
      </c>
      <c r="J265" s="5">
        <f t="shared" si="9"/>
        <v>-41605.278900000034</v>
      </c>
    </row>
    <row r="266" spans="1:10">
      <c r="A266" s="19" t="s">
        <v>88</v>
      </c>
      <c r="B266" s="18">
        <v>708985.19</v>
      </c>
      <c r="C266" s="18">
        <v>58981.91</v>
      </c>
      <c r="D266" s="19">
        <v>7324</v>
      </c>
      <c r="E266" s="19">
        <v>9.4E-2</v>
      </c>
      <c r="F266" s="19">
        <v>0</v>
      </c>
      <c r="G266" s="19">
        <v>1</v>
      </c>
      <c r="H266" s="19">
        <v>0</v>
      </c>
      <c r="I266">
        <f t="shared" si="8"/>
        <v>734734.93900000001</v>
      </c>
      <c r="J266" s="5">
        <f t="shared" si="9"/>
        <v>-25749.749000000069</v>
      </c>
    </row>
    <row r="267" spans="1:10">
      <c r="A267" s="19" t="s">
        <v>88</v>
      </c>
      <c r="B267" s="18">
        <v>767792.94</v>
      </c>
      <c r="C267" s="18">
        <v>73454.539999999994</v>
      </c>
      <c r="D267" s="19">
        <v>8129</v>
      </c>
      <c r="E267" s="19">
        <v>0.21099999999999999</v>
      </c>
      <c r="F267" s="19">
        <v>0</v>
      </c>
      <c r="G267" s="19">
        <v>1</v>
      </c>
      <c r="H267" s="19">
        <v>0</v>
      </c>
      <c r="I267">
        <f t="shared" si="8"/>
        <v>888517.94349999994</v>
      </c>
      <c r="J267" s="5">
        <f t="shared" si="9"/>
        <v>-120725.00349999999</v>
      </c>
    </row>
    <row r="268" spans="1:10">
      <c r="A268" s="19" t="s">
        <v>88</v>
      </c>
      <c r="B268" s="18">
        <v>745580.51</v>
      </c>
      <c r="C268" s="18">
        <v>56602.39</v>
      </c>
      <c r="D268" s="19">
        <v>7969</v>
      </c>
      <c r="E268" s="19">
        <v>0.17</v>
      </c>
      <c r="F268" s="19">
        <v>0</v>
      </c>
      <c r="G268" s="19">
        <v>1</v>
      </c>
      <c r="H268" s="19">
        <v>0</v>
      </c>
      <c r="I268">
        <f t="shared" si="8"/>
        <v>720148.38419999997</v>
      </c>
      <c r="J268" s="5">
        <f t="shared" si="9"/>
        <v>25432.125800000038</v>
      </c>
    </row>
    <row r="269" spans="1:10">
      <c r="A269" s="19" t="s">
        <v>88</v>
      </c>
      <c r="B269" s="18">
        <v>762328.31</v>
      </c>
      <c r="C269" s="18">
        <v>67722.289999999994</v>
      </c>
      <c r="D269" s="19">
        <v>7240</v>
      </c>
      <c r="E269" s="19">
        <v>2.5999999999999999E-2</v>
      </c>
      <c r="F269" s="19">
        <v>0</v>
      </c>
      <c r="G269" s="19">
        <v>1</v>
      </c>
      <c r="H269" s="19">
        <v>0</v>
      </c>
      <c r="I269">
        <f t="shared" si="8"/>
        <v>820828.09299999999</v>
      </c>
      <c r="J269" s="5">
        <f t="shared" si="9"/>
        <v>-58499.782999999938</v>
      </c>
    </row>
    <row r="270" spans="1:10">
      <c r="A270" s="19" t="s">
        <v>89</v>
      </c>
      <c r="B270" s="18">
        <v>660633.99</v>
      </c>
      <c r="C270" s="18">
        <v>48752.92</v>
      </c>
      <c r="D270" s="19">
        <v>8052</v>
      </c>
      <c r="E270" s="19">
        <v>0.106</v>
      </c>
      <c r="F270" s="19">
        <v>1</v>
      </c>
      <c r="G270" s="19">
        <v>0</v>
      </c>
      <c r="H270" s="19">
        <v>0</v>
      </c>
      <c r="I270">
        <f t="shared" si="8"/>
        <v>646579.79139999999</v>
      </c>
      <c r="J270" s="5">
        <f t="shared" si="9"/>
        <v>14054.198600000003</v>
      </c>
    </row>
    <row r="271" spans="1:10">
      <c r="A271" s="19" t="s">
        <v>89</v>
      </c>
      <c r="B271" s="18">
        <v>739374.56</v>
      </c>
      <c r="C271" s="18">
        <v>23914.97</v>
      </c>
      <c r="D271" s="19">
        <v>8018</v>
      </c>
      <c r="E271" s="19">
        <v>0.13900000000000001</v>
      </c>
      <c r="F271" s="19">
        <v>1</v>
      </c>
      <c r="G271" s="19">
        <v>0</v>
      </c>
      <c r="H271" s="19">
        <v>0</v>
      </c>
      <c r="I271">
        <f t="shared" si="8"/>
        <v>400137.08030000003</v>
      </c>
      <c r="J271" s="5">
        <f t="shared" si="9"/>
        <v>339237.47970000003</v>
      </c>
    </row>
    <row r="272" spans="1:10">
      <c r="A272" s="19" t="s">
        <v>89</v>
      </c>
      <c r="B272" s="18">
        <v>799756.46</v>
      </c>
      <c r="C272" s="18">
        <v>61995.3</v>
      </c>
      <c r="D272" s="19">
        <v>10192</v>
      </c>
      <c r="E272" s="19">
        <v>0.19800000000000001</v>
      </c>
      <c r="F272" s="19">
        <v>1</v>
      </c>
      <c r="G272" s="19">
        <v>0</v>
      </c>
      <c r="H272" s="19">
        <v>0</v>
      </c>
      <c r="I272">
        <f t="shared" si="8"/>
        <v>809501.39340000006</v>
      </c>
      <c r="J272" s="5">
        <f t="shared" si="9"/>
        <v>-9744.9334000000963</v>
      </c>
    </row>
    <row r="273" spans="1:10">
      <c r="A273" s="19" t="s">
        <v>89</v>
      </c>
      <c r="B273" s="18">
        <v>593343</v>
      </c>
      <c r="C273" s="18">
        <v>29344.93</v>
      </c>
      <c r="D273" s="19">
        <v>7446</v>
      </c>
      <c r="E273" s="19">
        <v>0.111</v>
      </c>
      <c r="F273" s="19">
        <v>1</v>
      </c>
      <c r="G273" s="19">
        <v>0</v>
      </c>
      <c r="H273" s="19">
        <v>0</v>
      </c>
      <c r="I273">
        <f t="shared" si="8"/>
        <v>445261.4167</v>
      </c>
      <c r="J273" s="5">
        <f t="shared" si="9"/>
        <v>148081.5833</v>
      </c>
    </row>
    <row r="274" spans="1:10">
      <c r="A274" s="19" t="s">
        <v>90</v>
      </c>
      <c r="B274" s="18">
        <v>645039.97</v>
      </c>
      <c r="C274" s="18">
        <v>50532.17</v>
      </c>
      <c r="D274" s="19">
        <v>5689</v>
      </c>
      <c r="E274" s="19">
        <v>5.1999999999999998E-2</v>
      </c>
      <c r="F274" s="19">
        <v>0</v>
      </c>
      <c r="G274" s="19">
        <v>1</v>
      </c>
      <c r="H274" s="19">
        <v>0</v>
      </c>
      <c r="I274">
        <f t="shared" si="8"/>
        <v>626298.18520000007</v>
      </c>
      <c r="J274" s="5">
        <f t="shared" si="9"/>
        <v>18741.784799999907</v>
      </c>
    </row>
    <row r="275" spans="1:10">
      <c r="A275" s="19" t="s">
        <v>90</v>
      </c>
      <c r="B275" s="18">
        <v>561597.32999999996</v>
      </c>
      <c r="C275" s="18">
        <v>17562.57</v>
      </c>
      <c r="D275" s="19">
        <v>3326</v>
      </c>
      <c r="E275" s="19">
        <v>0.153</v>
      </c>
      <c r="F275" s="19">
        <v>0</v>
      </c>
      <c r="G275" s="19">
        <v>1</v>
      </c>
      <c r="H275" s="19">
        <v>0</v>
      </c>
      <c r="I275">
        <f t="shared" si="8"/>
        <v>261988.99249999999</v>
      </c>
      <c r="J275" s="5">
        <f t="shared" si="9"/>
        <v>299608.33749999997</v>
      </c>
    </row>
    <row r="276" spans="1:10">
      <c r="A276" s="19" t="s">
        <v>90</v>
      </c>
      <c r="B276" s="18">
        <v>635837.74</v>
      </c>
      <c r="C276" s="18">
        <v>47648.71</v>
      </c>
      <c r="D276" s="19">
        <v>5767</v>
      </c>
      <c r="E276" s="19">
        <v>0.14099999999999999</v>
      </c>
      <c r="F276" s="19">
        <v>0</v>
      </c>
      <c r="G276" s="19">
        <v>1</v>
      </c>
      <c r="H276" s="19">
        <v>0</v>
      </c>
      <c r="I276">
        <f t="shared" si="8"/>
        <v>597652.05210000009</v>
      </c>
      <c r="J276" s="5">
        <f t="shared" si="9"/>
        <v>38185.687899999903</v>
      </c>
    </row>
    <row r="277" spans="1:10">
      <c r="A277" s="19" t="s">
        <v>90</v>
      </c>
      <c r="B277" s="18">
        <v>686737.87</v>
      </c>
      <c r="C277" s="18">
        <v>38297.58</v>
      </c>
      <c r="D277" s="19">
        <v>5893</v>
      </c>
      <c r="E277" s="19">
        <v>0.247</v>
      </c>
      <c r="F277" s="19">
        <v>0</v>
      </c>
      <c r="G277" s="19">
        <v>1</v>
      </c>
      <c r="H277" s="19">
        <v>0</v>
      </c>
      <c r="I277">
        <f t="shared" si="8"/>
        <v>505593.60950000008</v>
      </c>
      <c r="J277" s="5">
        <f t="shared" si="9"/>
        <v>181144.26049999992</v>
      </c>
    </row>
    <row r="278" spans="1:10">
      <c r="A278" s="19" t="s">
        <v>91</v>
      </c>
      <c r="B278" s="18">
        <v>673076.34</v>
      </c>
      <c r="C278" s="18">
        <v>61784.11</v>
      </c>
      <c r="D278" s="19">
        <v>8564</v>
      </c>
      <c r="E278" s="19">
        <v>0.13</v>
      </c>
      <c r="F278" s="19">
        <v>0</v>
      </c>
      <c r="G278" s="19">
        <v>0</v>
      </c>
      <c r="H278" s="19">
        <v>0</v>
      </c>
      <c r="I278">
        <f t="shared" si="8"/>
        <v>782343.00580000004</v>
      </c>
      <c r="J278" s="5">
        <f t="shared" si="9"/>
        <v>-109266.66580000008</v>
      </c>
    </row>
    <row r="279" spans="1:10">
      <c r="A279" s="19" t="s">
        <v>91</v>
      </c>
      <c r="B279" s="18">
        <v>738548.42</v>
      </c>
      <c r="C279" s="18">
        <v>36832.33</v>
      </c>
      <c r="D279" s="19">
        <v>8001</v>
      </c>
      <c r="E279" s="19">
        <v>0</v>
      </c>
      <c r="F279" s="19">
        <v>0</v>
      </c>
      <c r="G279" s="19">
        <v>0</v>
      </c>
      <c r="H279" s="19">
        <v>0</v>
      </c>
      <c r="I279">
        <f t="shared" si="8"/>
        <v>529017.15040000004</v>
      </c>
      <c r="J279" s="5">
        <f t="shared" si="9"/>
        <v>209531.2696</v>
      </c>
    </row>
    <row r="280" spans="1:10">
      <c r="A280" s="19" t="s">
        <v>91</v>
      </c>
      <c r="B280" s="18">
        <v>756619.77</v>
      </c>
      <c r="C280" s="18">
        <v>48609.41</v>
      </c>
      <c r="D280" s="19">
        <v>9324</v>
      </c>
      <c r="E280" s="19">
        <v>0.21299999999999999</v>
      </c>
      <c r="F280" s="19">
        <v>0</v>
      </c>
      <c r="G280" s="19">
        <v>0</v>
      </c>
      <c r="H280" s="19">
        <v>0</v>
      </c>
      <c r="I280">
        <f t="shared" si="8"/>
        <v>662792.50970000005</v>
      </c>
      <c r="J280" s="5">
        <f t="shared" si="9"/>
        <v>93827.260299999965</v>
      </c>
    </row>
    <row r="281" spans="1:10">
      <c r="A281" s="19" t="s">
        <v>91</v>
      </c>
      <c r="B281" s="18">
        <v>761122.42</v>
      </c>
      <c r="C281" s="18">
        <v>70284.06</v>
      </c>
      <c r="D281" s="19">
        <v>9109</v>
      </c>
      <c r="E281" s="19">
        <v>4.0000000000000001E-3</v>
      </c>
      <c r="F281" s="19">
        <v>0</v>
      </c>
      <c r="G281" s="19">
        <v>0</v>
      </c>
      <c r="H281" s="19">
        <v>0</v>
      </c>
      <c r="I281">
        <f t="shared" si="8"/>
        <v>876809.54399999988</v>
      </c>
      <c r="J281" s="5">
        <f t="shared" si="9"/>
        <v>-115687.12399999984</v>
      </c>
    </row>
    <row r="282" spans="1:10">
      <c r="A282" s="19" t="s">
        <v>92</v>
      </c>
      <c r="B282" s="18">
        <v>524899.56999999995</v>
      </c>
      <c r="C282" s="18">
        <v>45940.39</v>
      </c>
      <c r="D282" s="19">
        <v>4022</v>
      </c>
      <c r="E282" s="19">
        <v>6.9000000000000006E-2</v>
      </c>
      <c r="F282" s="19">
        <v>0</v>
      </c>
      <c r="G282" s="19">
        <v>1</v>
      </c>
      <c r="H282" s="19">
        <v>0</v>
      </c>
      <c r="I282">
        <f t="shared" si="8"/>
        <v>554562.76890000002</v>
      </c>
      <c r="J282" s="5">
        <f t="shared" si="9"/>
        <v>-29663.198900000076</v>
      </c>
    </row>
    <row r="283" spans="1:10">
      <c r="A283" s="19" t="s">
        <v>92</v>
      </c>
      <c r="B283" s="18">
        <v>555557.77</v>
      </c>
      <c r="C283" s="18">
        <v>34771.26</v>
      </c>
      <c r="D283" s="19">
        <v>4355</v>
      </c>
      <c r="E283" s="19">
        <v>5.0999999999999997E-2</v>
      </c>
      <c r="F283" s="19">
        <v>0</v>
      </c>
      <c r="G283" s="19">
        <v>1</v>
      </c>
      <c r="H283" s="19">
        <v>0</v>
      </c>
      <c r="I283">
        <f t="shared" si="8"/>
        <v>449705.44910000003</v>
      </c>
      <c r="J283" s="5">
        <f t="shared" si="9"/>
        <v>105852.32089999999</v>
      </c>
    </row>
    <row r="284" spans="1:10">
      <c r="A284" s="19" t="s">
        <v>92</v>
      </c>
      <c r="B284" s="18">
        <v>714083.68</v>
      </c>
      <c r="C284" s="18">
        <v>66104.19</v>
      </c>
      <c r="D284" s="19">
        <v>5745</v>
      </c>
      <c r="E284" s="19">
        <v>7.0000000000000007E-2</v>
      </c>
      <c r="F284" s="19">
        <v>0</v>
      </c>
      <c r="G284" s="19">
        <v>1</v>
      </c>
      <c r="H284" s="19">
        <v>0</v>
      </c>
      <c r="I284">
        <f t="shared" si="8"/>
        <v>780747.79820000008</v>
      </c>
      <c r="J284" s="5">
        <f t="shared" si="9"/>
        <v>-66664.118200000026</v>
      </c>
    </row>
    <row r="285" spans="1:10">
      <c r="A285" s="19" t="s">
        <v>92</v>
      </c>
      <c r="B285" s="18">
        <v>497439.82</v>
      </c>
      <c r="C285" s="18">
        <v>18599.21</v>
      </c>
      <c r="D285" s="19">
        <v>3027</v>
      </c>
      <c r="E285" s="19">
        <v>0.122</v>
      </c>
      <c r="F285" s="19">
        <v>0</v>
      </c>
      <c r="G285" s="19">
        <v>1</v>
      </c>
      <c r="H285" s="19">
        <v>0</v>
      </c>
      <c r="I285">
        <f t="shared" si="8"/>
        <v>268028.9914</v>
      </c>
      <c r="J285" s="5">
        <f t="shared" si="9"/>
        <v>229410.82860000001</v>
      </c>
    </row>
    <row r="286" spans="1:10">
      <c r="A286" s="19" t="s">
        <v>93</v>
      </c>
      <c r="B286" s="18">
        <v>636775.66</v>
      </c>
      <c r="C286" s="18">
        <v>60183.06</v>
      </c>
      <c r="D286" s="19">
        <v>5562</v>
      </c>
      <c r="E286" s="19">
        <v>8.9999999999999993E-3</v>
      </c>
      <c r="F286" s="19">
        <v>0</v>
      </c>
      <c r="G286" s="19">
        <v>0</v>
      </c>
      <c r="H286" s="19">
        <v>0</v>
      </c>
      <c r="I286">
        <f t="shared" si="8"/>
        <v>721388.17050000001</v>
      </c>
      <c r="J286" s="5">
        <f t="shared" si="9"/>
        <v>-84612.510499999975</v>
      </c>
    </row>
    <row r="287" spans="1:10">
      <c r="A287" s="19" t="s">
        <v>93</v>
      </c>
      <c r="B287" s="18">
        <v>633009.53</v>
      </c>
      <c r="C287" s="18">
        <v>74539.14</v>
      </c>
      <c r="D287" s="19">
        <v>4487</v>
      </c>
      <c r="E287" s="19">
        <v>0.14000000000000001</v>
      </c>
      <c r="F287" s="19">
        <v>0</v>
      </c>
      <c r="G287" s="19">
        <v>0</v>
      </c>
      <c r="H287" s="19">
        <v>0</v>
      </c>
      <c r="I287">
        <f t="shared" si="8"/>
        <v>844361.93520000007</v>
      </c>
      <c r="J287" s="5">
        <f t="shared" si="9"/>
        <v>-211352.40520000004</v>
      </c>
    </row>
    <row r="288" spans="1:10">
      <c r="A288" s="19" t="s">
        <v>93</v>
      </c>
      <c r="B288" s="18">
        <v>609949</v>
      </c>
      <c r="C288" s="18">
        <v>55371.97</v>
      </c>
      <c r="D288" s="19">
        <v>4162</v>
      </c>
      <c r="E288" s="19">
        <v>0.183</v>
      </c>
      <c r="F288" s="19">
        <v>0</v>
      </c>
      <c r="G288" s="19">
        <v>0</v>
      </c>
      <c r="H288" s="19">
        <v>0</v>
      </c>
      <c r="I288">
        <f t="shared" si="8"/>
        <v>649234.52350000013</v>
      </c>
      <c r="J288" s="5">
        <f t="shared" si="9"/>
        <v>-39285.523500000127</v>
      </c>
    </row>
    <row r="289" spans="1:10">
      <c r="A289" s="19" t="s">
        <v>93</v>
      </c>
      <c r="B289" s="18">
        <v>548103.69999999995</v>
      </c>
      <c r="C289" s="18">
        <v>40928.69</v>
      </c>
      <c r="D289" s="19">
        <v>4094</v>
      </c>
      <c r="E289" s="19">
        <v>0.17399999999999999</v>
      </c>
      <c r="F289" s="19">
        <v>0</v>
      </c>
      <c r="G289" s="19">
        <v>0</v>
      </c>
      <c r="H289" s="19">
        <v>0</v>
      </c>
      <c r="I289">
        <f t="shared" si="8"/>
        <v>505609.48940000002</v>
      </c>
      <c r="J289" s="5">
        <f t="shared" si="9"/>
        <v>42494.210599999933</v>
      </c>
    </row>
    <row r="290" spans="1:10">
      <c r="A290" s="19" t="s">
        <v>94</v>
      </c>
      <c r="B290" s="18">
        <v>729424.42</v>
      </c>
      <c r="C290" s="18">
        <v>70012.41</v>
      </c>
      <c r="D290" s="19">
        <v>8484</v>
      </c>
      <c r="E290" s="19">
        <v>0.27300000000000002</v>
      </c>
      <c r="F290" s="19">
        <v>0</v>
      </c>
      <c r="G290" s="19">
        <v>0</v>
      </c>
      <c r="H290" s="19">
        <v>0</v>
      </c>
      <c r="I290">
        <f t="shared" si="8"/>
        <v>860170.06770000013</v>
      </c>
      <c r="J290" s="5">
        <f t="shared" si="9"/>
        <v>-130745.64770000009</v>
      </c>
    </row>
    <row r="291" spans="1:10">
      <c r="A291" s="19" t="s">
        <v>94</v>
      </c>
      <c r="B291" s="18">
        <v>696261.49</v>
      </c>
      <c r="C291" s="18">
        <v>68909.259999999995</v>
      </c>
      <c r="D291" s="19">
        <v>7794</v>
      </c>
      <c r="E291" s="19">
        <v>0.28399999999999997</v>
      </c>
      <c r="F291" s="19">
        <v>0</v>
      </c>
      <c r="G291" s="19">
        <v>0</v>
      </c>
      <c r="H291" s="19">
        <v>0</v>
      </c>
      <c r="I291">
        <f t="shared" si="8"/>
        <v>838295.10400000005</v>
      </c>
      <c r="J291" s="5">
        <f t="shared" si="9"/>
        <v>-142033.61400000006</v>
      </c>
    </row>
    <row r="292" spans="1:10">
      <c r="A292" s="19" t="s">
        <v>94</v>
      </c>
      <c r="B292" s="18">
        <v>813316.71</v>
      </c>
      <c r="C292" s="18">
        <v>56737.3</v>
      </c>
      <c r="D292" s="19">
        <v>8300</v>
      </c>
      <c r="E292" s="19">
        <v>3.2000000000000001E-2</v>
      </c>
      <c r="F292" s="19">
        <v>0</v>
      </c>
      <c r="G292" s="19">
        <v>0</v>
      </c>
      <c r="H292" s="19">
        <v>0</v>
      </c>
      <c r="I292">
        <f t="shared" si="8"/>
        <v>729864.76360000006</v>
      </c>
      <c r="J292" s="5">
        <f t="shared" si="9"/>
        <v>83451.946399999899</v>
      </c>
    </row>
    <row r="293" spans="1:10">
      <c r="A293" s="19" t="s">
        <v>94</v>
      </c>
      <c r="B293" s="18">
        <v>702068.92</v>
      </c>
      <c r="C293" s="18">
        <v>54080.91</v>
      </c>
      <c r="D293" s="19">
        <v>7083</v>
      </c>
      <c r="E293" s="19">
        <v>0</v>
      </c>
      <c r="F293" s="19">
        <v>0</v>
      </c>
      <c r="G293" s="19">
        <v>0</v>
      </c>
      <c r="H293" s="19">
        <v>0</v>
      </c>
      <c r="I293">
        <f t="shared" si="8"/>
        <v>685057.24080000003</v>
      </c>
      <c r="J293" s="5">
        <f t="shared" si="9"/>
        <v>17011.679200000013</v>
      </c>
    </row>
    <row r="294" spans="1:10">
      <c r="A294" s="19" t="s">
        <v>95</v>
      </c>
      <c r="B294" s="18">
        <v>546223.69999999995</v>
      </c>
      <c r="C294" s="18">
        <v>51996.32</v>
      </c>
      <c r="D294" s="19">
        <v>3834</v>
      </c>
      <c r="E294" s="19">
        <v>9.6000000000000002E-2</v>
      </c>
      <c r="F294" s="19">
        <v>0</v>
      </c>
      <c r="G294" s="19">
        <v>1</v>
      </c>
      <c r="H294" s="19">
        <v>0</v>
      </c>
      <c r="I294">
        <f t="shared" si="8"/>
        <v>611032.92039999994</v>
      </c>
      <c r="J294" s="5">
        <f t="shared" si="9"/>
        <v>-64809.220399999991</v>
      </c>
    </row>
    <row r="295" spans="1:10">
      <c r="A295" s="19" t="s">
        <v>95</v>
      </c>
      <c r="B295" s="18">
        <v>533121.26</v>
      </c>
      <c r="C295" s="18">
        <v>40102.879999999997</v>
      </c>
      <c r="D295" s="19">
        <v>2358</v>
      </c>
      <c r="E295" s="19">
        <v>0.11899999999999999</v>
      </c>
      <c r="F295" s="19">
        <v>0</v>
      </c>
      <c r="G295" s="19">
        <v>1</v>
      </c>
      <c r="H295" s="19">
        <v>0</v>
      </c>
      <c r="I295">
        <f t="shared" si="8"/>
        <v>470055.19510000001</v>
      </c>
      <c r="J295" s="5">
        <f t="shared" si="9"/>
        <v>63066.064899999998</v>
      </c>
    </row>
    <row r="296" spans="1:10">
      <c r="A296" s="19" t="s">
        <v>95</v>
      </c>
      <c r="B296" s="18">
        <v>498970.32</v>
      </c>
      <c r="C296" s="18">
        <v>59825.51</v>
      </c>
      <c r="D296" s="19">
        <v>1231</v>
      </c>
      <c r="E296" s="19">
        <v>0.214</v>
      </c>
      <c r="F296" s="19">
        <v>0</v>
      </c>
      <c r="G296" s="19">
        <v>1</v>
      </c>
      <c r="H296" s="19">
        <v>0</v>
      </c>
      <c r="I296">
        <f t="shared" si="8"/>
        <v>645793.96299999999</v>
      </c>
      <c r="J296" s="5">
        <f t="shared" si="9"/>
        <v>-146823.64299999998</v>
      </c>
    </row>
    <row r="297" spans="1:10">
      <c r="A297" s="19" t="s">
        <v>95</v>
      </c>
      <c r="B297" s="18">
        <v>487738.26</v>
      </c>
      <c r="C297" s="18">
        <v>27398.28</v>
      </c>
      <c r="D297" s="19">
        <v>1723</v>
      </c>
      <c r="E297" s="19">
        <v>0.17100000000000001</v>
      </c>
      <c r="F297" s="19">
        <v>0</v>
      </c>
      <c r="G297" s="19">
        <v>1</v>
      </c>
      <c r="H297" s="19">
        <v>0</v>
      </c>
      <c r="I297">
        <f t="shared" si="8"/>
        <v>333783.9227</v>
      </c>
      <c r="J297" s="5">
        <f t="shared" si="9"/>
        <v>153954.33730000001</v>
      </c>
    </row>
    <row r="298" spans="1:10">
      <c r="A298" s="19" t="s">
        <v>96</v>
      </c>
      <c r="B298" s="18">
        <v>668459.37</v>
      </c>
      <c r="C298" s="18">
        <v>55599.56</v>
      </c>
      <c r="D298" s="19">
        <v>5896</v>
      </c>
      <c r="E298" s="19">
        <v>3.5999999999999997E-2</v>
      </c>
      <c r="F298" s="19">
        <v>0</v>
      </c>
      <c r="G298" s="19">
        <v>1</v>
      </c>
      <c r="H298" s="19">
        <v>0</v>
      </c>
      <c r="I298">
        <f t="shared" si="8"/>
        <v>679853.53359999997</v>
      </c>
      <c r="J298" s="5">
        <f t="shared" si="9"/>
        <v>-11394.163599999971</v>
      </c>
    </row>
    <row r="299" spans="1:10">
      <c r="A299" s="19" t="s">
        <v>96</v>
      </c>
      <c r="B299" s="18">
        <v>763162.45</v>
      </c>
      <c r="C299" s="18">
        <v>55477.61</v>
      </c>
      <c r="D299" s="19">
        <v>5903</v>
      </c>
      <c r="E299" s="19">
        <v>0.10199999999999999</v>
      </c>
      <c r="F299" s="19">
        <v>0</v>
      </c>
      <c r="G299" s="19">
        <v>1</v>
      </c>
      <c r="H299" s="19">
        <v>0</v>
      </c>
      <c r="I299">
        <f t="shared" si="8"/>
        <v>677735.63739999989</v>
      </c>
      <c r="J299" s="5">
        <f t="shared" si="9"/>
        <v>85426.812600000063</v>
      </c>
    </row>
    <row r="300" spans="1:10">
      <c r="A300" s="19" t="s">
        <v>96</v>
      </c>
      <c r="B300" s="18">
        <v>599017.32999999996</v>
      </c>
      <c r="C300" s="18">
        <v>46174.7</v>
      </c>
      <c r="D300" s="19">
        <v>4898</v>
      </c>
      <c r="E300" s="19">
        <v>0.114</v>
      </c>
      <c r="F300" s="19">
        <v>0</v>
      </c>
      <c r="G300" s="19">
        <v>1</v>
      </c>
      <c r="H300" s="19">
        <v>0</v>
      </c>
      <c r="I300">
        <f t="shared" si="8"/>
        <v>569898.65020000003</v>
      </c>
      <c r="J300" s="5">
        <f t="shared" si="9"/>
        <v>29118.679799999925</v>
      </c>
    </row>
    <row r="301" spans="1:10">
      <c r="A301" s="19" t="s">
        <v>96</v>
      </c>
      <c r="B301" s="18">
        <v>401582.58</v>
      </c>
      <c r="C301" s="18">
        <v>24362.98</v>
      </c>
      <c r="D301" s="19">
        <v>1462</v>
      </c>
      <c r="E301" s="19">
        <v>0.11700000000000001</v>
      </c>
      <c r="F301" s="19">
        <v>0</v>
      </c>
      <c r="G301" s="19">
        <v>1</v>
      </c>
      <c r="H301" s="19">
        <v>0</v>
      </c>
      <c r="I301">
        <f t="shared" si="8"/>
        <v>300544.61249999999</v>
      </c>
      <c r="J301" s="5">
        <f t="shared" si="9"/>
        <v>101037.96750000003</v>
      </c>
    </row>
    <row r="302" spans="1:10">
      <c r="A302" s="19" t="s">
        <v>97</v>
      </c>
      <c r="B302" s="18">
        <v>703812.99</v>
      </c>
      <c r="C302" s="18">
        <v>40647.67</v>
      </c>
      <c r="D302" s="19">
        <v>8252</v>
      </c>
      <c r="E302" s="19">
        <v>0.14099999999999999</v>
      </c>
      <c r="F302" s="19">
        <v>1</v>
      </c>
      <c r="G302" s="19">
        <v>0</v>
      </c>
      <c r="H302" s="19">
        <v>0</v>
      </c>
      <c r="I302">
        <f t="shared" si="8"/>
        <v>569089.60690000013</v>
      </c>
      <c r="J302" s="5">
        <f t="shared" si="9"/>
        <v>134723.38309999986</v>
      </c>
    </row>
    <row r="303" spans="1:10">
      <c r="A303" s="19" t="s">
        <v>97</v>
      </c>
      <c r="B303" s="18">
        <v>724346.73</v>
      </c>
      <c r="C303" s="18">
        <v>63986.98</v>
      </c>
      <c r="D303" s="19">
        <v>7989</v>
      </c>
      <c r="E303" s="19">
        <v>7.3999999999999996E-2</v>
      </c>
      <c r="F303" s="19">
        <v>1</v>
      </c>
      <c r="G303" s="19">
        <v>0</v>
      </c>
      <c r="H303" s="19">
        <v>0</v>
      </c>
      <c r="I303">
        <f t="shared" si="8"/>
        <v>796601.55460000003</v>
      </c>
      <c r="J303" s="5">
        <f t="shared" si="9"/>
        <v>-72254.824600000051</v>
      </c>
    </row>
    <row r="304" spans="1:10">
      <c r="A304" s="19" t="s">
        <v>97</v>
      </c>
      <c r="B304" s="18">
        <v>730890.01</v>
      </c>
      <c r="C304" s="18">
        <v>52843.75</v>
      </c>
      <c r="D304" s="19">
        <v>8268</v>
      </c>
      <c r="E304" s="19">
        <v>0.13800000000000001</v>
      </c>
      <c r="F304" s="19">
        <v>1</v>
      </c>
      <c r="G304" s="19">
        <v>0</v>
      </c>
      <c r="H304" s="19">
        <v>0</v>
      </c>
      <c r="I304">
        <f t="shared" si="8"/>
        <v>689883.92140000011</v>
      </c>
      <c r="J304" s="5">
        <f t="shared" si="9"/>
        <v>41006.088599999901</v>
      </c>
    </row>
    <row r="305" spans="1:10">
      <c r="A305" s="19" t="s">
        <v>97</v>
      </c>
      <c r="B305" s="18">
        <v>780580.95</v>
      </c>
      <c r="C305" s="18">
        <v>31997.25</v>
      </c>
      <c r="D305" s="19">
        <v>8183</v>
      </c>
      <c r="E305" s="19">
        <v>0.19800000000000001</v>
      </c>
      <c r="F305" s="19">
        <v>1</v>
      </c>
      <c r="G305" s="19">
        <v>0</v>
      </c>
      <c r="H305" s="19">
        <v>0</v>
      </c>
      <c r="I305">
        <f t="shared" si="8"/>
        <v>481659.71940000006</v>
      </c>
      <c r="J305" s="5">
        <f t="shared" si="9"/>
        <v>298921.23059999989</v>
      </c>
    </row>
    <row r="306" spans="1:10">
      <c r="A306" s="19" t="s">
        <v>98</v>
      </c>
      <c r="B306" s="18">
        <v>727957.48</v>
      </c>
      <c r="C306" s="18">
        <v>54948.02</v>
      </c>
      <c r="D306" s="19">
        <v>6534</v>
      </c>
      <c r="E306" s="19">
        <v>0.183</v>
      </c>
      <c r="F306" s="19">
        <v>0</v>
      </c>
      <c r="G306" s="19">
        <v>0</v>
      </c>
      <c r="H306" s="19">
        <v>0</v>
      </c>
      <c r="I306">
        <f t="shared" si="8"/>
        <v>682191.4175000001</v>
      </c>
      <c r="J306" s="5">
        <f t="shared" si="9"/>
        <v>45766.062499999884</v>
      </c>
    </row>
    <row r="307" spans="1:10">
      <c r="A307" s="19" t="s">
        <v>98</v>
      </c>
      <c r="B307" s="18">
        <v>538376</v>
      </c>
      <c r="C307" s="18">
        <v>46146.239999999998</v>
      </c>
      <c r="D307" s="19">
        <v>5804</v>
      </c>
      <c r="E307" s="19">
        <v>4.7E-2</v>
      </c>
      <c r="F307" s="19">
        <v>0</v>
      </c>
      <c r="G307" s="19">
        <v>0</v>
      </c>
      <c r="H307" s="19">
        <v>0</v>
      </c>
      <c r="I307">
        <f t="shared" si="8"/>
        <v>585905.31030000001</v>
      </c>
      <c r="J307" s="5">
        <f t="shared" si="9"/>
        <v>-47529.310300000012</v>
      </c>
    </row>
    <row r="308" spans="1:10">
      <c r="A308" s="19" t="s">
        <v>98</v>
      </c>
      <c r="B308" s="18">
        <v>665342.49</v>
      </c>
      <c r="C308" s="18">
        <v>22387.26</v>
      </c>
      <c r="D308" s="19">
        <v>6301</v>
      </c>
      <c r="E308" s="19">
        <v>0.14599999999999999</v>
      </c>
      <c r="F308" s="19">
        <v>0</v>
      </c>
      <c r="G308" s="19">
        <v>0</v>
      </c>
      <c r="H308" s="19">
        <v>0</v>
      </c>
      <c r="I308">
        <f t="shared" si="8"/>
        <v>357415.63260000007</v>
      </c>
      <c r="J308" s="5">
        <f t="shared" si="9"/>
        <v>307926.85739999992</v>
      </c>
    </row>
    <row r="309" spans="1:10">
      <c r="A309" s="19" t="s">
        <v>98</v>
      </c>
      <c r="B309" s="18">
        <v>651164.18000000005</v>
      </c>
      <c r="C309" s="18">
        <v>60684.05</v>
      </c>
      <c r="D309" s="19">
        <v>6399</v>
      </c>
      <c r="E309" s="19">
        <v>7.4999999999999997E-2</v>
      </c>
      <c r="F309" s="19">
        <v>0</v>
      </c>
      <c r="G309" s="19">
        <v>0</v>
      </c>
      <c r="H309" s="19">
        <v>0</v>
      </c>
      <c r="I309">
        <f t="shared" si="8"/>
        <v>738422.72149999999</v>
      </c>
      <c r="J309" s="5">
        <f t="shared" si="9"/>
        <v>-87258.541499999934</v>
      </c>
    </row>
    <row r="310" spans="1:10">
      <c r="A310" s="19" t="s">
        <v>99</v>
      </c>
      <c r="B310" s="18">
        <v>628538.30000000005</v>
      </c>
      <c r="C310" s="18">
        <v>48465.599999999999</v>
      </c>
      <c r="D310" s="19">
        <v>5759</v>
      </c>
      <c r="E310" s="19">
        <v>0.154</v>
      </c>
      <c r="F310" s="19">
        <v>0</v>
      </c>
      <c r="G310" s="19">
        <v>1</v>
      </c>
      <c r="H310" s="19">
        <v>0</v>
      </c>
      <c r="I310">
        <f t="shared" si="8"/>
        <v>605396.21420000005</v>
      </c>
      <c r="J310" s="5">
        <f t="shared" si="9"/>
        <v>23142.085800000001</v>
      </c>
    </row>
    <row r="311" spans="1:10">
      <c r="A311" s="19" t="s">
        <v>99</v>
      </c>
      <c r="B311" s="18">
        <v>536524.84</v>
      </c>
      <c r="C311" s="18">
        <v>23702.38</v>
      </c>
      <c r="D311" s="19">
        <v>5285</v>
      </c>
      <c r="E311" s="19">
        <v>0.16700000000000001</v>
      </c>
      <c r="F311" s="19">
        <v>0</v>
      </c>
      <c r="G311" s="19">
        <v>1</v>
      </c>
      <c r="H311" s="19">
        <v>0</v>
      </c>
      <c r="I311">
        <f t="shared" si="8"/>
        <v>353111.32950000005</v>
      </c>
      <c r="J311" s="5">
        <f t="shared" si="9"/>
        <v>183413.51049999992</v>
      </c>
    </row>
    <row r="312" spans="1:10">
      <c r="A312" s="19" t="s">
        <v>99</v>
      </c>
      <c r="B312" s="18">
        <v>621677.30000000005</v>
      </c>
      <c r="C312" s="18">
        <v>54322.94</v>
      </c>
      <c r="D312" s="19">
        <v>5434</v>
      </c>
      <c r="E312" s="19">
        <v>0.2</v>
      </c>
      <c r="F312" s="19">
        <v>0</v>
      </c>
      <c r="G312" s="19">
        <v>1</v>
      </c>
      <c r="H312" s="19">
        <v>0</v>
      </c>
      <c r="I312">
        <f t="shared" si="8"/>
        <v>657464.47720000008</v>
      </c>
      <c r="J312" s="5">
        <f t="shared" si="9"/>
        <v>-35787.177200000035</v>
      </c>
    </row>
    <row r="313" spans="1:10">
      <c r="A313" s="19" t="s">
        <v>99</v>
      </c>
      <c r="B313" s="18">
        <v>771129.07</v>
      </c>
      <c r="C313" s="18">
        <v>86026.58</v>
      </c>
      <c r="D313" s="19">
        <v>7479</v>
      </c>
      <c r="E313" s="19">
        <v>0.14199999999999999</v>
      </c>
      <c r="F313" s="19">
        <v>0</v>
      </c>
      <c r="G313" s="19">
        <v>1</v>
      </c>
      <c r="H313" s="19">
        <v>0</v>
      </c>
      <c r="I313">
        <f t="shared" si="8"/>
        <v>1003619.8330000001</v>
      </c>
      <c r="J313" s="5">
        <f t="shared" si="9"/>
        <v>-232490.76300000015</v>
      </c>
    </row>
    <row r="314" spans="1:10">
      <c r="A314" s="19" t="s">
        <v>100</v>
      </c>
      <c r="B314" s="18">
        <v>702052.47</v>
      </c>
      <c r="C314" s="18">
        <v>78967.520000000004</v>
      </c>
      <c r="D314" s="19">
        <v>6164</v>
      </c>
      <c r="E314" s="19">
        <v>2.1000000000000001E-2</v>
      </c>
      <c r="F314" s="19">
        <v>0</v>
      </c>
      <c r="G314" s="19">
        <v>0</v>
      </c>
      <c r="H314" s="19">
        <v>0</v>
      </c>
      <c r="I314">
        <f t="shared" si="8"/>
        <v>916220.01890000002</v>
      </c>
      <c r="J314" s="5">
        <f t="shared" si="9"/>
        <v>-214167.54890000005</v>
      </c>
    </row>
    <row r="315" spans="1:10">
      <c r="A315" s="19" t="s">
        <v>100</v>
      </c>
      <c r="B315" s="18">
        <v>688368.46</v>
      </c>
      <c r="C315" s="18">
        <v>46767.99</v>
      </c>
      <c r="D315" s="19">
        <v>7973</v>
      </c>
      <c r="E315" s="19">
        <v>0.183</v>
      </c>
      <c r="F315" s="19">
        <v>0</v>
      </c>
      <c r="G315" s="19">
        <v>0</v>
      </c>
      <c r="H315" s="19">
        <v>0</v>
      </c>
      <c r="I315">
        <f t="shared" si="8"/>
        <v>623907.46110000007</v>
      </c>
      <c r="J315" s="5">
        <f t="shared" si="9"/>
        <v>64460.99889999989</v>
      </c>
    </row>
    <row r="316" spans="1:10">
      <c r="A316" s="19" t="s">
        <v>100</v>
      </c>
      <c r="B316" s="18">
        <v>712375.77</v>
      </c>
      <c r="C316" s="18">
        <v>62507.16</v>
      </c>
      <c r="D316" s="19">
        <v>6000</v>
      </c>
      <c r="E316" s="19">
        <v>9.0999999999999998E-2</v>
      </c>
      <c r="F316" s="19">
        <v>0</v>
      </c>
      <c r="G316" s="19">
        <v>0</v>
      </c>
      <c r="H316" s="19">
        <v>0</v>
      </c>
      <c r="I316">
        <f t="shared" si="8"/>
        <v>749938.79310000001</v>
      </c>
      <c r="J316" s="5">
        <f t="shared" si="9"/>
        <v>-37563.023099999991</v>
      </c>
    </row>
    <row r="317" spans="1:10">
      <c r="A317" s="19" t="s">
        <v>100</v>
      </c>
      <c r="B317" s="18">
        <v>844710.67</v>
      </c>
      <c r="C317" s="18">
        <v>66456.28</v>
      </c>
      <c r="D317" s="19">
        <v>9967</v>
      </c>
      <c r="E317" s="19">
        <v>0.108</v>
      </c>
      <c r="F317" s="19">
        <v>0</v>
      </c>
      <c r="G317" s="19">
        <v>0</v>
      </c>
      <c r="H317" s="19">
        <v>0</v>
      </c>
      <c r="I317">
        <f t="shared" si="8"/>
        <v>850815.90879999986</v>
      </c>
      <c r="J317" s="5">
        <f t="shared" si="9"/>
        <v>-6105.2387999998173</v>
      </c>
    </row>
    <row r="318" spans="1:10">
      <c r="A318" s="19" t="s">
        <v>101</v>
      </c>
      <c r="B318" s="18">
        <v>620264.19999999995</v>
      </c>
      <c r="C318" s="18">
        <v>76614.320000000007</v>
      </c>
      <c r="D318" s="19">
        <v>5639</v>
      </c>
      <c r="E318" s="19">
        <v>0.17399999999999999</v>
      </c>
      <c r="F318" s="19">
        <v>0</v>
      </c>
      <c r="G318" s="19">
        <v>0</v>
      </c>
      <c r="H318" s="19">
        <v>0</v>
      </c>
      <c r="I318">
        <f t="shared" si="8"/>
        <v>882378.21380000014</v>
      </c>
      <c r="J318" s="5">
        <f t="shared" si="9"/>
        <v>-262114.01380000019</v>
      </c>
    </row>
    <row r="319" spans="1:10">
      <c r="A319" s="19" t="s">
        <v>101</v>
      </c>
      <c r="B319" s="18">
        <v>536845.42000000004</v>
      </c>
      <c r="C319" s="18">
        <v>24088.06</v>
      </c>
      <c r="D319" s="19">
        <v>3466</v>
      </c>
      <c r="E319" s="19">
        <v>0</v>
      </c>
      <c r="F319" s="19">
        <v>0</v>
      </c>
      <c r="G319" s="19">
        <v>0</v>
      </c>
      <c r="H319" s="19">
        <v>0</v>
      </c>
      <c r="I319">
        <f t="shared" si="8"/>
        <v>332085.66280000005</v>
      </c>
      <c r="J319" s="5">
        <f t="shared" si="9"/>
        <v>204759.75719999999</v>
      </c>
    </row>
    <row r="320" spans="1:10">
      <c r="A320" s="19" t="s">
        <v>101</v>
      </c>
      <c r="B320" s="18">
        <v>726776.22</v>
      </c>
      <c r="C320" s="18">
        <v>81902.58</v>
      </c>
      <c r="D320" s="19">
        <v>7775</v>
      </c>
      <c r="E320" s="19">
        <v>0.215</v>
      </c>
      <c r="F320" s="19">
        <v>0</v>
      </c>
      <c r="G320" s="19">
        <v>0</v>
      </c>
      <c r="H320" s="19">
        <v>0</v>
      </c>
      <c r="I320">
        <f t="shared" si="8"/>
        <v>967440.69990000012</v>
      </c>
      <c r="J320" s="5">
        <f t="shared" si="9"/>
        <v>-240664.47990000015</v>
      </c>
    </row>
    <row r="321" spans="1:10">
      <c r="A321" s="19" t="s">
        <v>101</v>
      </c>
      <c r="B321" s="18">
        <v>559660.84</v>
      </c>
      <c r="C321" s="18">
        <v>40553.11</v>
      </c>
      <c r="D321" s="19">
        <v>5317</v>
      </c>
      <c r="E321" s="19">
        <v>0.16500000000000001</v>
      </c>
      <c r="F321" s="19">
        <v>0</v>
      </c>
      <c r="G321" s="19">
        <v>0</v>
      </c>
      <c r="H321" s="19">
        <v>0</v>
      </c>
      <c r="I321">
        <f t="shared" si="8"/>
        <v>521190.39130000008</v>
      </c>
      <c r="J321" s="5">
        <f t="shared" si="9"/>
        <v>38470.448699999892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92162-F47D-43E8-8785-738194F714DB}">
  <dimension ref="A1:D4"/>
  <sheetViews>
    <sheetView workbookViewId="0"/>
  </sheetViews>
  <sheetFormatPr defaultRowHeight="13.8"/>
  <cols>
    <col min="1" max="1" width="18.19921875" customWidth="1"/>
    <col min="2" max="2" width="17.5" customWidth="1"/>
    <col min="3" max="3" width="13.5" customWidth="1"/>
    <col min="4" max="4" width="24.296875" customWidth="1"/>
  </cols>
  <sheetData>
    <row r="1" spans="1:4" ht="27.6">
      <c r="A1" s="21" t="s">
        <v>151</v>
      </c>
      <c r="B1" s="21" t="s">
        <v>152</v>
      </c>
      <c r="C1" s="21" t="s">
        <v>153</v>
      </c>
      <c r="D1" s="21" t="s">
        <v>154</v>
      </c>
    </row>
    <row r="2" spans="1:4" ht="27.6">
      <c r="A2" s="22" t="s">
        <v>155</v>
      </c>
      <c r="B2" s="22" t="s">
        <v>4</v>
      </c>
      <c r="C2" s="22">
        <v>0.66810000000000003</v>
      </c>
      <c r="D2" s="22" t="s">
        <v>4</v>
      </c>
    </row>
    <row r="3" spans="1:4" ht="28.8" customHeight="1">
      <c r="A3" s="22" t="s">
        <v>156</v>
      </c>
      <c r="B3" s="22" t="s">
        <v>5</v>
      </c>
      <c r="C3" s="22">
        <v>0.75480000000000003</v>
      </c>
      <c r="D3" s="22" t="s">
        <v>5</v>
      </c>
    </row>
    <row r="4" spans="1:4" ht="55.2">
      <c r="A4" s="22" t="s">
        <v>157</v>
      </c>
      <c r="B4" s="22" t="s">
        <v>158</v>
      </c>
      <c r="C4" s="22">
        <v>0.97209999999999996</v>
      </c>
      <c r="D4" s="22" t="s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102</v>
      </c>
      <c r="B1" s="1" t="s">
        <v>103</v>
      </c>
    </row>
    <row r="2" spans="1:2">
      <c r="A2" s="3" t="s">
        <v>0</v>
      </c>
      <c r="B2" s="3" t="s">
        <v>104</v>
      </c>
    </row>
    <row r="3" spans="1:2">
      <c r="A3" s="3" t="s">
        <v>1</v>
      </c>
      <c r="B3" s="3" t="s">
        <v>105</v>
      </c>
    </row>
    <row r="4" spans="1:2">
      <c r="A4" s="3" t="s">
        <v>2</v>
      </c>
      <c r="B4" s="3" t="s">
        <v>106</v>
      </c>
    </row>
    <row r="5" spans="1:2" ht="27.6">
      <c r="A5" s="3" t="s">
        <v>3</v>
      </c>
      <c r="B5" s="3" t="s">
        <v>107</v>
      </c>
    </row>
    <row r="6" spans="1:2" ht="27.6">
      <c r="A6" s="3" t="s">
        <v>4</v>
      </c>
      <c r="B6" s="3" t="s">
        <v>108</v>
      </c>
    </row>
    <row r="7" spans="1:2">
      <c r="A7" s="3" t="s">
        <v>5</v>
      </c>
      <c r="B7" s="3" t="s">
        <v>109</v>
      </c>
    </row>
    <row r="8" spans="1:2" ht="27.6">
      <c r="A8" s="3" t="s">
        <v>6</v>
      </c>
      <c r="B8" s="3" t="s">
        <v>110</v>
      </c>
    </row>
    <row r="9" spans="1:2">
      <c r="A9" s="3" t="s">
        <v>7</v>
      </c>
      <c r="B9" s="3" t="s">
        <v>111</v>
      </c>
    </row>
    <row r="10" spans="1:2" ht="27.6">
      <c r="A10" s="3" t="s">
        <v>8</v>
      </c>
      <c r="B10" s="3" t="s">
        <v>112</v>
      </c>
    </row>
    <row r="11" spans="1:2">
      <c r="A11" s="3" t="s">
        <v>9</v>
      </c>
      <c r="B11" s="3" t="s">
        <v>113</v>
      </c>
    </row>
    <row r="12" spans="1:2" ht="41.4">
      <c r="A12" s="3" t="s">
        <v>10</v>
      </c>
      <c r="B12" s="3" t="s">
        <v>114</v>
      </c>
    </row>
    <row r="13" spans="1:2">
      <c r="A13" s="3" t="s">
        <v>11</v>
      </c>
      <c r="B13" s="3" t="s">
        <v>115</v>
      </c>
    </row>
    <row r="14" spans="1:2" ht="27.6">
      <c r="A14" s="3" t="s">
        <v>12</v>
      </c>
      <c r="B14" s="3" t="s">
        <v>116</v>
      </c>
    </row>
    <row r="15" spans="1:2" ht="27.6">
      <c r="A15" s="3" t="s">
        <v>13</v>
      </c>
      <c r="B15" s="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 dataset</vt:lpstr>
      <vt:lpstr>Cleaned data sheet </vt:lpstr>
      <vt:lpstr>Dummy variable creation</vt:lpstr>
      <vt:lpstr>Simple regression outputs</vt:lpstr>
      <vt:lpstr>Multiple regression outputs</vt:lpstr>
      <vt:lpstr>Prediction and residual calcula</vt:lpstr>
      <vt:lpstr>Model comparison sheet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Anas</cp:lastModifiedBy>
  <dcterms:modified xsi:type="dcterms:W3CDTF">2026-06-28T08:39:44Z</dcterms:modified>
</cp:coreProperties>
</file>